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rpat\OneDrive - Microsoft\UEFA-Champions-League-R16-Probabilities\"/>
    </mc:Choice>
  </mc:AlternateContent>
  <xr:revisionPtr revIDLastSave="30394" documentId="C9871121354B8F1417F1EFDDD2AC728A096E2262" xr6:coauthVersionLast="23" xr6:coauthVersionMax="23" xr10:uidLastSave="{2B30D540-5BA3-447C-92C4-3B47E2D3D4D1}"/>
  <bookViews>
    <workbookView xWindow="0" yWindow="0" windowWidth="21600" windowHeight="8890" xr2:uid="{00000000-000D-0000-FFFF-FFFF00000000}"/>
  </bookViews>
  <sheets>
    <sheet name="UCL" sheetId="1" r:id="rId1"/>
  </sheets>
  <functionGroups builtInGroupCount="18"/>
  <definedNames>
    <definedName name="All_Simulation_Results">UCL!$C$30:$J$37</definedName>
    <definedName name="Blocked_Matchups">UCL!$C$55:$J$62</definedName>
    <definedName name="Matchup_When_RunnerUp_1st">UCL!$N$42:$U$49</definedName>
    <definedName name="Number_Simulations">UCL!$B$14</definedName>
    <definedName name="One_Simulation_Result">UCL!$C$42:$J$49</definedName>
    <definedName name="Possible_Matchups">UCL!$C$18:$J$25</definedName>
    <definedName name="Probabilities_Table">UCL!$C$4:$J$11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0" i="1" l="1"/>
  <c r="P50" i="1"/>
  <c r="Q50" i="1"/>
  <c r="R50" i="1"/>
  <c r="S50" i="1"/>
  <c r="T50" i="1"/>
  <c r="U50" i="1"/>
  <c r="N50" i="1"/>
  <c r="D4" i="1"/>
  <c r="E4" i="1"/>
  <c r="F4" i="1"/>
  <c r="G4" i="1"/>
  <c r="H4" i="1"/>
  <c r="I4" i="1"/>
  <c r="J4" i="1"/>
  <c r="D5" i="1"/>
  <c r="E5" i="1"/>
  <c r="F5" i="1"/>
  <c r="G5" i="1"/>
  <c r="H5" i="1"/>
  <c r="I5" i="1"/>
  <c r="J5" i="1"/>
  <c r="D6" i="1"/>
  <c r="E6" i="1"/>
  <c r="F6" i="1"/>
  <c r="G6" i="1"/>
  <c r="H6" i="1"/>
  <c r="I6" i="1"/>
  <c r="J6" i="1"/>
  <c r="D7" i="1"/>
  <c r="E7" i="1"/>
  <c r="F7" i="1"/>
  <c r="G7" i="1"/>
  <c r="H7" i="1"/>
  <c r="I7" i="1"/>
  <c r="J7" i="1"/>
  <c r="D8" i="1"/>
  <c r="E8" i="1"/>
  <c r="F8" i="1"/>
  <c r="G8" i="1"/>
  <c r="H8" i="1"/>
  <c r="I8" i="1"/>
  <c r="J8" i="1"/>
  <c r="D9" i="1"/>
  <c r="E9" i="1"/>
  <c r="F9" i="1"/>
  <c r="G9" i="1"/>
  <c r="H9" i="1"/>
  <c r="I9" i="1"/>
  <c r="J9" i="1"/>
  <c r="D10" i="1"/>
  <c r="E10" i="1"/>
  <c r="F10" i="1"/>
  <c r="G10" i="1"/>
  <c r="H10" i="1"/>
  <c r="I10" i="1"/>
  <c r="J10" i="1"/>
  <c r="D11" i="1"/>
  <c r="E11" i="1"/>
  <c r="F11" i="1"/>
  <c r="G11" i="1"/>
  <c r="H11" i="1"/>
  <c r="I11" i="1"/>
  <c r="J11" i="1"/>
  <c r="C5" i="1"/>
  <c r="C6" i="1"/>
  <c r="C7" i="1"/>
  <c r="C8" i="1"/>
  <c r="C9" i="1"/>
  <c r="C10" i="1"/>
  <c r="C11" i="1"/>
  <c r="C4" i="1"/>
  <c r="R61" i="1" l="1"/>
  <c r="R56" i="1"/>
  <c r="R60" i="1"/>
  <c r="R58" i="1"/>
  <c r="R55" i="1"/>
  <c r="R62" i="1"/>
  <c r="R59" i="1"/>
  <c r="R57" i="1"/>
  <c r="U62" i="1"/>
  <c r="U61" i="1"/>
  <c r="U60" i="1"/>
  <c r="U59" i="1"/>
  <c r="U58" i="1"/>
  <c r="U57" i="1"/>
  <c r="U56" i="1"/>
  <c r="U55" i="1"/>
  <c r="Q62" i="1"/>
  <c r="Q61" i="1"/>
  <c r="Q60" i="1"/>
  <c r="Q59" i="1"/>
  <c r="Q58" i="1"/>
  <c r="Q57" i="1"/>
  <c r="Q56" i="1"/>
  <c r="Q55" i="1"/>
  <c r="N60" i="1"/>
  <c r="N59" i="1"/>
  <c r="N58" i="1"/>
  <c r="N55" i="1"/>
  <c r="N62" i="1"/>
  <c r="N57" i="1"/>
  <c r="N61" i="1"/>
  <c r="N56" i="1"/>
  <c r="T62" i="1"/>
  <c r="T61" i="1"/>
  <c r="T60" i="1"/>
  <c r="T59" i="1"/>
  <c r="T58" i="1"/>
  <c r="T57" i="1"/>
  <c r="T56" i="1"/>
  <c r="T55" i="1"/>
  <c r="P62" i="1"/>
  <c r="P61" i="1"/>
  <c r="P60" i="1"/>
  <c r="P59" i="1"/>
  <c r="P58" i="1"/>
  <c r="P57" i="1"/>
  <c r="P56" i="1"/>
  <c r="P55" i="1"/>
  <c r="S62" i="1"/>
  <c r="S61" i="1"/>
  <c r="S60" i="1"/>
  <c r="S59" i="1"/>
  <c r="S58" i="1"/>
  <c r="S57" i="1"/>
  <c r="S56" i="1"/>
  <c r="S55" i="1"/>
  <c r="O62" i="1"/>
  <c r="O61" i="1"/>
  <c r="O60" i="1"/>
  <c r="O59" i="1"/>
  <c r="O58" i="1"/>
  <c r="O57" i="1"/>
  <c r="O56" i="1"/>
  <c r="O55" i="1"/>
  <c r="R51" i="1"/>
  <c r="Q51" i="1"/>
  <c r="T51" i="1"/>
  <c r="P51" i="1"/>
  <c r="N51" i="1"/>
  <c r="U51" i="1"/>
  <c r="S51" i="1"/>
  <c r="O51" i="1"/>
</calcChain>
</file>

<file path=xl/sharedStrings.xml><?xml version="1.0" encoding="utf-8"?>
<sst xmlns="http://schemas.openxmlformats.org/spreadsheetml/2006/main" count="123" uniqueCount="30">
  <si>
    <t>Arsenal</t>
  </si>
  <si>
    <t>PSG</t>
  </si>
  <si>
    <t>Napoli</t>
  </si>
  <si>
    <t>Benfica</t>
  </si>
  <si>
    <t>Barcelona</t>
  </si>
  <si>
    <t>Manchester City</t>
  </si>
  <si>
    <t>Atletico Madrid</t>
  </si>
  <si>
    <t>Bayern Munich</t>
  </si>
  <si>
    <t>Monaco</t>
  </si>
  <si>
    <t>Bayer Leverkusen</t>
  </si>
  <si>
    <t>Borussia Dortmund</t>
  </si>
  <si>
    <t>Real Madrid</t>
  </si>
  <si>
    <t>Leicester City</t>
  </si>
  <si>
    <t>Porto</t>
  </si>
  <si>
    <t>Juventus</t>
  </si>
  <si>
    <t>Sevilla</t>
  </si>
  <si>
    <t>Helper Table. 1 if match-up if possible, 0 otherwise</t>
  </si>
  <si>
    <t>Number of Simulations</t>
  </si>
  <si>
    <t>Computed Probabilities</t>
  </si>
  <si>
    <t>Helper Table. Matchup results for one simulation</t>
  </si>
  <si>
    <t>Helper Table. Combined matchup results for all simulations</t>
  </si>
  <si>
    <t>Helper Table. Blocked Matchups for One Simulation. 0 if blocked</t>
  </si>
  <si>
    <t>Leverkusen</t>
  </si>
  <si>
    <t>Dortmund</t>
  </si>
  <si>
    <t>Man City</t>
  </si>
  <si>
    <t>Total 1st round selections</t>
  </si>
  <si>
    <t>Percentage of 1st rd selec</t>
  </si>
  <si>
    <t>Validation Table. Match-up probabilities when runner-up team goes first in draw order. In each column, the percentages should be approximately equal</t>
  </si>
  <si>
    <t>Validation Table. The match-up choices for each runner-up team only when runner-up team goes first in draw order. Each runner-up team should be 1st in draw order in approximately 12.5% of the time</t>
  </si>
  <si>
    <t>Runner-Up Teams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</si>
</sst>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3" fillId="2" borderId="10" xfId="0" applyFont="1" applyFill="1" applyBorder="1" applyAlignment="1">
      <alignment horizontal="center"/>
    </xf>
    <xf numFmtId="0" fontId="4" fillId="2" borderId="0" xfId="0" applyFont="1" applyFill="1" applyBorder="1"/>
    <xf numFmtId="0" fontId="5" fillId="3" borderId="1" xfId="0" applyFont="1" applyFill="1" applyBorder="1"/>
    <xf numFmtId="0" fontId="5" fillId="3" borderId="5" xfId="0" applyFont="1" applyFill="1" applyBorder="1"/>
    <xf numFmtId="0" fontId="5" fillId="3" borderId="3" xfId="0" applyFont="1" applyFill="1" applyBorder="1"/>
    <xf numFmtId="0" fontId="5" fillId="3" borderId="4" xfId="0" applyFont="1" applyFill="1" applyBorder="1"/>
    <xf numFmtId="0" fontId="6" fillId="2" borderId="0" xfId="0" applyFont="1" applyFill="1" applyBorder="1"/>
    <xf numFmtId="0" fontId="5" fillId="3" borderId="7" xfId="0" applyFont="1" applyFill="1" applyBorder="1"/>
    <xf numFmtId="164" fontId="7" fillId="2" borderId="6" xfId="1" applyNumberFormat="1" applyFont="1" applyFill="1" applyBorder="1"/>
    <xf numFmtId="0" fontId="5" fillId="3" borderId="8" xfId="0" applyFont="1" applyFill="1" applyBorder="1"/>
    <xf numFmtId="0" fontId="5" fillId="3" borderId="9" xfId="0" applyFont="1" applyFill="1" applyBorder="1"/>
    <xf numFmtId="0" fontId="7" fillId="2" borderId="0" xfId="0" applyFont="1" applyFill="1" applyBorder="1"/>
    <xf numFmtId="0" fontId="7" fillId="5" borderId="2" xfId="0" applyFont="1" applyFill="1" applyBorder="1" applyAlignment="1">
      <alignment wrapText="1"/>
    </xf>
    <xf numFmtId="0" fontId="7" fillId="4" borderId="4" xfId="0" applyFont="1" applyFill="1" applyBorder="1"/>
    <xf numFmtId="0" fontId="8" fillId="3" borderId="1" xfId="0" applyFont="1" applyFill="1" applyBorder="1"/>
    <xf numFmtId="0" fontId="8" fillId="3" borderId="5" xfId="0" applyFont="1" applyFill="1" applyBorder="1"/>
    <xf numFmtId="0" fontId="8" fillId="3" borderId="3" xfId="0" applyFont="1" applyFill="1" applyBorder="1"/>
    <xf numFmtId="0" fontId="8" fillId="3" borderId="4" xfId="0" applyFont="1" applyFill="1" applyBorder="1"/>
    <xf numFmtId="0" fontId="8" fillId="3" borderId="7" xfId="0" applyFont="1" applyFill="1" applyBorder="1"/>
    <xf numFmtId="0" fontId="4" fillId="2" borderId="6" xfId="0" applyFont="1" applyFill="1" applyBorder="1"/>
    <xf numFmtId="0" fontId="8" fillId="3" borderId="8" xfId="0" applyFont="1" applyFill="1" applyBorder="1"/>
    <xf numFmtId="0" fontId="8" fillId="3" borderId="9" xfId="0" applyFont="1" applyFill="1" applyBorder="1"/>
    <xf numFmtId="0" fontId="3" fillId="2" borderId="0" xfId="0" applyFont="1" applyFill="1" applyBorder="1" applyAlignment="1">
      <alignment horizontal="center"/>
    </xf>
    <xf numFmtId="0" fontId="9" fillId="2" borderId="0" xfId="0" applyFont="1" applyFill="1" applyBorder="1"/>
    <xf numFmtId="164" fontId="9" fillId="2" borderId="0" xfId="1" applyNumberFormat="1" applyFont="1" applyFill="1" applyBorder="1"/>
    <xf numFmtId="164" fontId="4" fillId="2" borderId="6" xfId="1" applyNumberFormat="1" applyFont="1" applyFill="1" applyBorder="1"/>
  </cellXfs>
  <cellStyles count="2">
    <cellStyle name="Normal" xfId="0" builtinId="0"/>
    <cellStyle name="Percent" xfId="1" builtinId="5"/>
  </cellStyles>
  <dxfs count="20"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1079500</xdr:colOff>
          <xdr:row>11</xdr:row>
          <xdr:rowOff>209550</xdr:rowOff>
        </xdr:from>
        <xdr:to>
          <xdr:col>5</xdr:col>
          <xdr:colOff>1143000</xdr:colOff>
          <xdr:row>13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56445</xdr:colOff>
      <xdr:row>2</xdr:row>
      <xdr:rowOff>91723</xdr:rowOff>
    </xdr:from>
    <xdr:to>
      <xdr:col>10</xdr:col>
      <xdr:colOff>578556</xdr:colOff>
      <xdr:row>2</xdr:row>
      <xdr:rowOff>98778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 flipV="1">
          <a:off x="11183056" y="515056"/>
          <a:ext cx="522111" cy="7055"/>
        </a:xfrm>
        <a:prstGeom prst="straightConnector1">
          <a:avLst/>
        </a:prstGeom>
        <a:ln w="317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2"/>
  <sheetViews>
    <sheetView tabSelected="1" zoomScale="80" zoomScaleNormal="80" workbookViewId="0"/>
  </sheetViews>
  <sheetFormatPr defaultRowHeight="14.5" x14ac:dyDescent="0.35"/>
  <cols>
    <col min="1" max="1" width="2" style="2" customWidth="1"/>
    <col min="2" max="10" width="17.453125" style="2" customWidth="1"/>
    <col min="11" max="11" width="8.7265625" style="2" customWidth="1"/>
    <col min="12" max="12" width="20.90625" style="2" customWidth="1"/>
    <col min="13" max="13" width="22.6328125" style="2" customWidth="1"/>
    <col min="14" max="21" width="19.08984375" style="2" customWidth="1"/>
    <col min="22" max="16384" width="8.7265625" style="2"/>
  </cols>
  <sheetData>
    <row r="2" spans="2:12" ht="19" thickBot="1" x14ac:dyDescent="0.5">
      <c r="B2" s="1" t="s">
        <v>18</v>
      </c>
      <c r="C2" s="1"/>
      <c r="D2" s="1"/>
      <c r="E2" s="1"/>
      <c r="F2" s="1"/>
      <c r="G2" s="1"/>
      <c r="H2" s="1"/>
      <c r="I2" s="1"/>
      <c r="J2" s="1"/>
    </row>
    <row r="3" spans="2:12" ht="18.5" customHeight="1" thickBot="1" x14ac:dyDescent="0.55000000000000004">
      <c r="B3" s="3"/>
      <c r="C3" s="4" t="s">
        <v>1</v>
      </c>
      <c r="D3" s="5" t="s">
        <v>3</v>
      </c>
      <c r="E3" s="5" t="s">
        <v>24</v>
      </c>
      <c r="F3" s="5" t="s">
        <v>7</v>
      </c>
      <c r="G3" s="5" t="s">
        <v>22</v>
      </c>
      <c r="H3" s="5" t="s">
        <v>11</v>
      </c>
      <c r="I3" s="5" t="s">
        <v>13</v>
      </c>
      <c r="J3" s="6" t="s">
        <v>15</v>
      </c>
      <c r="L3" s="7" t="s">
        <v>29</v>
      </c>
    </row>
    <row r="4" spans="2:12" ht="18.5" customHeight="1" thickBot="1" x14ac:dyDescent="0.5">
      <c r="B4" s="8" t="s">
        <v>0</v>
      </c>
      <c r="C4" s="9">
        <f>C30/SUM(C$30:C$37)</f>
        <v>0</v>
      </c>
      <c r="D4" s="9">
        <f t="shared" ref="D4:J4" si="0">D30/SUM(D$30:D$37)</f>
        <v>0.12879549567665394</v>
      </c>
      <c r="E4" s="9">
        <f t="shared" si="0"/>
        <v>0</v>
      </c>
      <c r="F4" s="9">
        <f t="shared" si="0"/>
        <v>0.16796283730883657</v>
      </c>
      <c r="G4" s="9">
        <f t="shared" si="0"/>
        <v>0.15844889573703133</v>
      </c>
      <c r="H4" s="9">
        <f t="shared" si="0"/>
        <v>0.20659236173472084</v>
      </c>
      <c r="I4" s="9">
        <f t="shared" si="0"/>
        <v>0.13296939950919015</v>
      </c>
      <c r="J4" s="9">
        <f t="shared" si="0"/>
        <v>0.20190011685210588</v>
      </c>
    </row>
    <row r="5" spans="2:12" ht="18.5" customHeight="1" thickBot="1" x14ac:dyDescent="0.5">
      <c r="B5" s="10" t="s">
        <v>2</v>
      </c>
      <c r="C5" s="9">
        <f t="shared" ref="C5:J11" si="1">C31/SUM(C$30:C$37)</f>
        <v>0.13499438374349024</v>
      </c>
      <c r="D5" s="9">
        <f t="shared" si="1"/>
        <v>0</v>
      </c>
      <c r="E5" s="9">
        <f t="shared" si="1"/>
        <v>0.15945089757127773</v>
      </c>
      <c r="F5" s="9">
        <f t="shared" si="1"/>
        <v>0.13586304086852133</v>
      </c>
      <c r="G5" s="9">
        <f t="shared" si="1"/>
        <v>0.13867488443759629</v>
      </c>
      <c r="H5" s="9">
        <f t="shared" si="1"/>
        <v>0.17801489620199673</v>
      </c>
      <c r="I5" s="9">
        <f t="shared" si="1"/>
        <v>0.11073270896980017</v>
      </c>
      <c r="J5" s="9">
        <f t="shared" si="1"/>
        <v>0.16638723771782757</v>
      </c>
    </row>
    <row r="6" spans="2:12" ht="18.5" customHeight="1" thickBot="1" x14ac:dyDescent="0.5">
      <c r="B6" s="10" t="s">
        <v>4</v>
      </c>
      <c r="C6" s="9">
        <f t="shared" si="1"/>
        <v>0.19978556111508219</v>
      </c>
      <c r="D6" s="9">
        <f t="shared" si="1"/>
        <v>0.17036999798914138</v>
      </c>
      <c r="E6" s="9">
        <f t="shared" si="1"/>
        <v>0</v>
      </c>
      <c r="F6" s="9">
        <f t="shared" si="1"/>
        <v>0.2245419907093272</v>
      </c>
      <c r="G6" s="9">
        <f t="shared" si="1"/>
        <v>0.20503338469440163</v>
      </c>
      <c r="H6" s="9">
        <f t="shared" si="1"/>
        <v>0</v>
      </c>
      <c r="I6" s="9">
        <f t="shared" si="1"/>
        <v>0.17739269795162016</v>
      </c>
      <c r="J6" s="9">
        <f t="shared" si="1"/>
        <v>0</v>
      </c>
    </row>
    <row r="7" spans="2:12" ht="18.5" customHeight="1" thickBot="1" x14ac:dyDescent="0.5">
      <c r="B7" s="10" t="s">
        <v>6</v>
      </c>
      <c r="C7" s="9">
        <f t="shared" si="1"/>
        <v>0.19493515776575104</v>
      </c>
      <c r="D7" s="9">
        <f t="shared" si="1"/>
        <v>0.16871103961391515</v>
      </c>
      <c r="E7" s="9">
        <f t="shared" si="1"/>
        <v>0.2502639915522703</v>
      </c>
      <c r="F7" s="9">
        <f t="shared" si="1"/>
        <v>0</v>
      </c>
      <c r="G7" s="9">
        <f t="shared" si="1"/>
        <v>0.19661016949152543</v>
      </c>
      <c r="H7" s="9">
        <f t="shared" si="1"/>
        <v>0</v>
      </c>
      <c r="I7" s="9">
        <f t="shared" si="1"/>
        <v>0.17163319477137276</v>
      </c>
      <c r="J7" s="9">
        <f t="shared" si="1"/>
        <v>0</v>
      </c>
    </row>
    <row r="8" spans="2:12" ht="18.5" customHeight="1" thickBot="1" x14ac:dyDescent="0.5">
      <c r="B8" s="10" t="s">
        <v>8</v>
      </c>
      <c r="C8" s="9">
        <f t="shared" si="1"/>
        <v>0</v>
      </c>
      <c r="D8" s="9">
        <f t="shared" si="1"/>
        <v>0.1304041825859642</v>
      </c>
      <c r="E8" s="9">
        <f t="shared" si="1"/>
        <v>0.1888595564941922</v>
      </c>
      <c r="F8" s="9">
        <f t="shared" si="1"/>
        <v>0.15381804895871393</v>
      </c>
      <c r="G8" s="9">
        <f t="shared" si="1"/>
        <v>0</v>
      </c>
      <c r="H8" s="9">
        <f t="shared" si="1"/>
        <v>0.21118799852094447</v>
      </c>
      <c r="I8" s="9">
        <f t="shared" si="1"/>
        <v>0.12836179696499223</v>
      </c>
      <c r="J8" s="9">
        <f t="shared" si="1"/>
        <v>0.19250114311842706</v>
      </c>
    </row>
    <row r="9" spans="2:12" ht="18.5" customHeight="1" thickBot="1" x14ac:dyDescent="0.5">
      <c r="B9" s="10" t="s">
        <v>23</v>
      </c>
      <c r="C9" s="9">
        <f t="shared" si="1"/>
        <v>0.18252833656693557</v>
      </c>
      <c r="D9" s="9">
        <f t="shared" si="1"/>
        <v>0.15337824250955157</v>
      </c>
      <c r="E9" s="9">
        <f t="shared" si="1"/>
        <v>0.22882787750791975</v>
      </c>
      <c r="F9" s="9">
        <f t="shared" si="1"/>
        <v>0</v>
      </c>
      <c r="G9" s="9">
        <f t="shared" si="1"/>
        <v>0</v>
      </c>
      <c r="H9" s="9">
        <f t="shared" si="1"/>
        <v>0</v>
      </c>
      <c r="I9" s="9">
        <f t="shared" si="1"/>
        <v>0.1591125356838784</v>
      </c>
      <c r="J9" s="9">
        <f t="shared" si="1"/>
        <v>0.2467611644566377</v>
      </c>
    </row>
    <row r="10" spans="2:12" ht="18.5" customHeight="1" thickBot="1" x14ac:dyDescent="0.5">
      <c r="B10" s="10" t="s">
        <v>12</v>
      </c>
      <c r="C10" s="9">
        <f t="shared" si="1"/>
        <v>0.14832022873481057</v>
      </c>
      <c r="D10" s="9">
        <f t="shared" si="1"/>
        <v>0.13000201085863664</v>
      </c>
      <c r="E10" s="9">
        <f t="shared" si="1"/>
        <v>0</v>
      </c>
      <c r="F10" s="9">
        <f t="shared" si="1"/>
        <v>0.1650399290150843</v>
      </c>
      <c r="G10" s="9">
        <f t="shared" si="1"/>
        <v>0.16204417051874678</v>
      </c>
      <c r="H10" s="9">
        <f t="shared" si="1"/>
        <v>0.21377634567640377</v>
      </c>
      <c r="I10" s="9">
        <f t="shared" si="1"/>
        <v>0</v>
      </c>
      <c r="J10" s="9">
        <f t="shared" si="1"/>
        <v>0.19245033785500179</v>
      </c>
    </row>
    <row r="11" spans="2:12" ht="18.5" customHeight="1" thickBot="1" x14ac:dyDescent="0.5">
      <c r="B11" s="11" t="s">
        <v>14</v>
      </c>
      <c r="C11" s="9">
        <f t="shared" si="1"/>
        <v>0.13943633207393036</v>
      </c>
      <c r="D11" s="9">
        <f t="shared" si="1"/>
        <v>0.11833903076613714</v>
      </c>
      <c r="E11" s="9">
        <f t="shared" si="1"/>
        <v>0.17259767687434002</v>
      </c>
      <c r="F11" s="9">
        <f t="shared" si="1"/>
        <v>0.15277415313951667</v>
      </c>
      <c r="G11" s="9">
        <f t="shared" si="1"/>
        <v>0.1391884951206985</v>
      </c>
      <c r="H11" s="9">
        <f t="shared" si="1"/>
        <v>0.19042839786593418</v>
      </c>
      <c r="I11" s="9">
        <f t="shared" si="1"/>
        <v>0.1197976661491461</v>
      </c>
      <c r="J11" s="9">
        <f t="shared" si="1"/>
        <v>0</v>
      </c>
    </row>
    <row r="12" spans="2:12" ht="19" thickBot="1" x14ac:dyDescent="0.5">
      <c r="B12" s="12"/>
      <c r="C12" s="12"/>
      <c r="D12" s="12"/>
      <c r="E12" s="12"/>
      <c r="F12" s="12"/>
      <c r="G12" s="12"/>
      <c r="H12" s="12"/>
      <c r="I12" s="12"/>
      <c r="J12" s="12"/>
    </row>
    <row r="13" spans="2:12" ht="34.5" customHeight="1" x14ac:dyDescent="0.45">
      <c r="B13" s="13" t="s">
        <v>17</v>
      </c>
      <c r="C13" s="12"/>
      <c r="D13" s="12"/>
      <c r="E13" s="12"/>
      <c r="F13" s="12"/>
      <c r="G13" s="12"/>
      <c r="H13" s="12"/>
      <c r="I13" s="12"/>
      <c r="J13" s="12"/>
    </row>
    <row r="14" spans="2:12" ht="19" thickBot="1" x14ac:dyDescent="0.5">
      <c r="B14" s="14">
        <v>20000</v>
      </c>
      <c r="C14" s="12"/>
      <c r="D14" s="12"/>
      <c r="E14" s="12"/>
      <c r="F14" s="12"/>
      <c r="G14" s="12"/>
      <c r="H14" s="12"/>
      <c r="I14" s="12"/>
      <c r="J14" s="12"/>
    </row>
    <row r="16" spans="2:12" ht="19" thickBot="1" x14ac:dyDescent="0.5">
      <c r="B16" s="1" t="s">
        <v>16</v>
      </c>
      <c r="C16" s="1"/>
      <c r="D16" s="1"/>
      <c r="E16" s="1"/>
      <c r="F16" s="1"/>
      <c r="G16" s="1"/>
      <c r="H16" s="1"/>
      <c r="I16" s="1"/>
      <c r="J16" s="1"/>
    </row>
    <row r="17" spans="2:10" ht="15" thickBot="1" x14ac:dyDescent="0.4">
      <c r="B17" s="15"/>
      <c r="C17" s="16" t="s">
        <v>1</v>
      </c>
      <c r="D17" s="17" t="s">
        <v>3</v>
      </c>
      <c r="E17" s="17" t="s">
        <v>5</v>
      </c>
      <c r="F17" s="17" t="s">
        <v>7</v>
      </c>
      <c r="G17" s="17" t="s">
        <v>9</v>
      </c>
      <c r="H17" s="17" t="s">
        <v>11</v>
      </c>
      <c r="I17" s="17" t="s">
        <v>13</v>
      </c>
      <c r="J17" s="18" t="s">
        <v>15</v>
      </c>
    </row>
    <row r="18" spans="2:10" ht="15" thickBot="1" x14ac:dyDescent="0.4">
      <c r="B18" s="19" t="s">
        <v>0</v>
      </c>
      <c r="C18" s="20">
        <v>0</v>
      </c>
      <c r="D18" s="20">
        <v>1</v>
      </c>
      <c r="E18" s="20">
        <v>0</v>
      </c>
      <c r="F18" s="20">
        <v>1</v>
      </c>
      <c r="G18" s="20">
        <v>1</v>
      </c>
      <c r="H18" s="20">
        <v>1</v>
      </c>
      <c r="I18" s="20">
        <v>1</v>
      </c>
      <c r="J18" s="20">
        <v>1</v>
      </c>
    </row>
    <row r="19" spans="2:10" ht="15" thickBot="1" x14ac:dyDescent="0.4">
      <c r="B19" s="21" t="s">
        <v>2</v>
      </c>
      <c r="C19" s="20">
        <v>1</v>
      </c>
      <c r="D19" s="20">
        <v>0</v>
      </c>
      <c r="E19" s="20">
        <v>1</v>
      </c>
      <c r="F19" s="20">
        <v>1</v>
      </c>
      <c r="G19" s="20">
        <v>1</v>
      </c>
      <c r="H19" s="20">
        <v>1</v>
      </c>
      <c r="I19" s="20">
        <v>1</v>
      </c>
      <c r="J19" s="20">
        <v>1</v>
      </c>
    </row>
    <row r="20" spans="2:10" ht="15" thickBot="1" x14ac:dyDescent="0.4">
      <c r="B20" s="21" t="s">
        <v>4</v>
      </c>
      <c r="C20" s="20">
        <v>1</v>
      </c>
      <c r="D20" s="20">
        <v>1</v>
      </c>
      <c r="E20" s="20">
        <v>0</v>
      </c>
      <c r="F20" s="20">
        <v>1</v>
      </c>
      <c r="G20" s="20">
        <v>1</v>
      </c>
      <c r="H20" s="20">
        <v>0</v>
      </c>
      <c r="I20" s="20">
        <v>1</v>
      </c>
      <c r="J20" s="20">
        <v>0</v>
      </c>
    </row>
    <row r="21" spans="2:10" ht="15" thickBot="1" x14ac:dyDescent="0.4">
      <c r="B21" s="21" t="s">
        <v>6</v>
      </c>
      <c r="C21" s="20">
        <v>1</v>
      </c>
      <c r="D21" s="20">
        <v>1</v>
      </c>
      <c r="E21" s="20">
        <v>1</v>
      </c>
      <c r="F21" s="20">
        <v>0</v>
      </c>
      <c r="G21" s="20">
        <v>1</v>
      </c>
      <c r="H21" s="20">
        <v>0</v>
      </c>
      <c r="I21" s="20">
        <v>1</v>
      </c>
      <c r="J21" s="20">
        <v>0</v>
      </c>
    </row>
    <row r="22" spans="2:10" ht="15" thickBot="1" x14ac:dyDescent="0.4">
      <c r="B22" s="21" t="s">
        <v>8</v>
      </c>
      <c r="C22" s="20">
        <v>0</v>
      </c>
      <c r="D22" s="20">
        <v>1</v>
      </c>
      <c r="E22" s="20">
        <v>1</v>
      </c>
      <c r="F22" s="20">
        <v>1</v>
      </c>
      <c r="G22" s="20">
        <v>0</v>
      </c>
      <c r="H22" s="20">
        <v>1</v>
      </c>
      <c r="I22" s="20">
        <v>1</v>
      </c>
      <c r="J22" s="20">
        <v>1</v>
      </c>
    </row>
    <row r="23" spans="2:10" ht="15" thickBot="1" x14ac:dyDescent="0.4">
      <c r="B23" s="21" t="s">
        <v>10</v>
      </c>
      <c r="C23" s="20">
        <v>1</v>
      </c>
      <c r="D23" s="20">
        <v>1</v>
      </c>
      <c r="E23" s="20">
        <v>1</v>
      </c>
      <c r="F23" s="20">
        <v>0</v>
      </c>
      <c r="G23" s="20">
        <v>0</v>
      </c>
      <c r="H23" s="20">
        <v>0</v>
      </c>
      <c r="I23" s="20">
        <v>1</v>
      </c>
      <c r="J23" s="20">
        <v>1</v>
      </c>
    </row>
    <row r="24" spans="2:10" ht="15" thickBot="1" x14ac:dyDescent="0.4">
      <c r="B24" s="21" t="s">
        <v>12</v>
      </c>
      <c r="C24" s="20">
        <v>1</v>
      </c>
      <c r="D24" s="20">
        <v>1</v>
      </c>
      <c r="E24" s="20">
        <v>0</v>
      </c>
      <c r="F24" s="20">
        <v>1</v>
      </c>
      <c r="G24" s="20">
        <v>1</v>
      </c>
      <c r="H24" s="20">
        <v>1</v>
      </c>
      <c r="I24" s="20">
        <v>0</v>
      </c>
      <c r="J24" s="20">
        <v>1</v>
      </c>
    </row>
    <row r="25" spans="2:10" ht="15" thickBot="1" x14ac:dyDescent="0.4">
      <c r="B25" s="22" t="s">
        <v>14</v>
      </c>
      <c r="C25" s="20">
        <v>1</v>
      </c>
      <c r="D25" s="20">
        <v>1</v>
      </c>
      <c r="E25" s="20">
        <v>1</v>
      </c>
      <c r="F25" s="20">
        <v>1</v>
      </c>
      <c r="G25" s="20">
        <v>1</v>
      </c>
      <c r="H25" s="20">
        <v>1</v>
      </c>
      <c r="I25" s="20">
        <v>1</v>
      </c>
      <c r="J25" s="20">
        <v>0</v>
      </c>
    </row>
    <row r="28" spans="2:10" ht="19" thickBot="1" x14ac:dyDescent="0.5">
      <c r="B28" s="1" t="s">
        <v>20</v>
      </c>
      <c r="C28" s="1"/>
      <c r="D28" s="1"/>
      <c r="E28" s="1"/>
      <c r="F28" s="1"/>
      <c r="G28" s="1"/>
      <c r="H28" s="1"/>
      <c r="I28" s="1"/>
      <c r="J28" s="1"/>
    </row>
    <row r="29" spans="2:10" ht="15" thickBot="1" x14ac:dyDescent="0.4">
      <c r="B29" s="15"/>
      <c r="C29" s="16" t="s">
        <v>1</v>
      </c>
      <c r="D29" s="17" t="s">
        <v>3</v>
      </c>
      <c r="E29" s="17" t="s">
        <v>5</v>
      </c>
      <c r="F29" s="17" t="s">
        <v>7</v>
      </c>
      <c r="G29" s="17" t="s">
        <v>9</v>
      </c>
      <c r="H29" s="17" t="s">
        <v>11</v>
      </c>
      <c r="I29" s="17" t="s">
        <v>13</v>
      </c>
      <c r="J29" s="18" t="s">
        <v>15</v>
      </c>
    </row>
    <row r="30" spans="2:10" ht="15" thickBot="1" x14ac:dyDescent="0.4">
      <c r="B30" s="19" t="s">
        <v>0</v>
      </c>
      <c r="C30" s="20">
        <v>0</v>
      </c>
      <c r="D30" s="20">
        <v>2562</v>
      </c>
      <c r="E30" s="20">
        <v>0</v>
      </c>
      <c r="F30" s="20">
        <v>3218</v>
      </c>
      <c r="G30" s="20">
        <v>3085</v>
      </c>
      <c r="H30" s="20">
        <v>3911</v>
      </c>
      <c r="I30" s="20">
        <v>2655</v>
      </c>
      <c r="J30" s="20">
        <v>3974</v>
      </c>
    </row>
    <row r="31" spans="2:10" ht="15" thickBot="1" x14ac:dyDescent="0.4">
      <c r="B31" s="21" t="s">
        <v>2</v>
      </c>
      <c r="C31" s="20">
        <v>2644</v>
      </c>
      <c r="D31" s="20">
        <v>0</v>
      </c>
      <c r="E31" s="20">
        <v>3020</v>
      </c>
      <c r="F31" s="20">
        <v>2603</v>
      </c>
      <c r="G31" s="20">
        <v>2700</v>
      </c>
      <c r="H31" s="20">
        <v>3370</v>
      </c>
      <c r="I31" s="20">
        <v>2211</v>
      </c>
      <c r="J31" s="20">
        <v>3275</v>
      </c>
    </row>
    <row r="32" spans="2:10" ht="15" thickBot="1" x14ac:dyDescent="0.4">
      <c r="B32" s="21" t="s">
        <v>4</v>
      </c>
      <c r="C32" s="20">
        <v>3913</v>
      </c>
      <c r="D32" s="20">
        <v>3389</v>
      </c>
      <c r="E32" s="20">
        <v>0</v>
      </c>
      <c r="F32" s="20">
        <v>4302</v>
      </c>
      <c r="G32" s="20">
        <v>3992</v>
      </c>
      <c r="H32" s="20">
        <v>0</v>
      </c>
      <c r="I32" s="20">
        <v>3542</v>
      </c>
      <c r="J32" s="20">
        <v>0</v>
      </c>
    </row>
    <row r="33" spans="2:23" ht="15" thickBot="1" x14ac:dyDescent="0.4">
      <c r="B33" s="21" t="s">
        <v>6</v>
      </c>
      <c r="C33" s="20">
        <v>3818</v>
      </c>
      <c r="D33" s="20">
        <v>3356</v>
      </c>
      <c r="E33" s="20">
        <v>4740</v>
      </c>
      <c r="F33" s="20">
        <v>0</v>
      </c>
      <c r="G33" s="20">
        <v>3828</v>
      </c>
      <c r="H33" s="20">
        <v>0</v>
      </c>
      <c r="I33" s="20">
        <v>3427</v>
      </c>
      <c r="J33" s="20">
        <v>0</v>
      </c>
    </row>
    <row r="34" spans="2:23" ht="15" thickBot="1" x14ac:dyDescent="0.4">
      <c r="B34" s="21" t="s">
        <v>8</v>
      </c>
      <c r="C34" s="20">
        <v>0</v>
      </c>
      <c r="D34" s="20">
        <v>2594</v>
      </c>
      <c r="E34" s="20">
        <v>3577</v>
      </c>
      <c r="F34" s="20">
        <v>2947</v>
      </c>
      <c r="G34" s="20">
        <v>0</v>
      </c>
      <c r="H34" s="20">
        <v>3998</v>
      </c>
      <c r="I34" s="20">
        <v>2563</v>
      </c>
      <c r="J34" s="20">
        <v>3789</v>
      </c>
    </row>
    <row r="35" spans="2:23" ht="15" thickBot="1" x14ac:dyDescent="0.4">
      <c r="B35" s="21" t="s">
        <v>10</v>
      </c>
      <c r="C35" s="20">
        <v>3575</v>
      </c>
      <c r="D35" s="20">
        <v>3051</v>
      </c>
      <c r="E35" s="20">
        <v>4334</v>
      </c>
      <c r="F35" s="20">
        <v>0</v>
      </c>
      <c r="G35" s="20">
        <v>0</v>
      </c>
      <c r="H35" s="20">
        <v>0</v>
      </c>
      <c r="I35" s="20">
        <v>3177</v>
      </c>
      <c r="J35" s="20">
        <v>4857</v>
      </c>
    </row>
    <row r="36" spans="2:23" ht="15" thickBot="1" x14ac:dyDescent="0.4">
      <c r="B36" s="21" t="s">
        <v>12</v>
      </c>
      <c r="C36" s="20">
        <v>2905</v>
      </c>
      <c r="D36" s="20">
        <v>2586</v>
      </c>
      <c r="E36" s="20">
        <v>0</v>
      </c>
      <c r="F36" s="20">
        <v>3162</v>
      </c>
      <c r="G36" s="20">
        <v>3155</v>
      </c>
      <c r="H36" s="20">
        <v>4047</v>
      </c>
      <c r="I36" s="20">
        <v>0</v>
      </c>
      <c r="J36" s="20">
        <v>3788</v>
      </c>
    </row>
    <row r="37" spans="2:23" ht="15" thickBot="1" x14ac:dyDescent="0.4">
      <c r="B37" s="22" t="s">
        <v>14</v>
      </c>
      <c r="C37" s="20">
        <v>2731</v>
      </c>
      <c r="D37" s="20">
        <v>2354</v>
      </c>
      <c r="E37" s="20">
        <v>3269</v>
      </c>
      <c r="F37" s="20">
        <v>2927</v>
      </c>
      <c r="G37" s="20">
        <v>2710</v>
      </c>
      <c r="H37" s="20">
        <v>3605</v>
      </c>
      <c r="I37" s="20">
        <v>2392</v>
      </c>
      <c r="J37" s="20">
        <v>0</v>
      </c>
    </row>
    <row r="40" spans="2:23" ht="19" thickBot="1" x14ac:dyDescent="0.5">
      <c r="B40" s="1" t="s">
        <v>19</v>
      </c>
      <c r="C40" s="1"/>
      <c r="D40" s="1"/>
      <c r="E40" s="1"/>
      <c r="F40" s="1"/>
      <c r="G40" s="1"/>
      <c r="H40" s="1"/>
      <c r="I40" s="1"/>
      <c r="J40" s="1"/>
      <c r="L40" s="23" t="s">
        <v>28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</row>
    <row r="41" spans="2:23" ht="15" thickBot="1" x14ac:dyDescent="0.4">
      <c r="B41" s="15"/>
      <c r="C41" s="16" t="s">
        <v>1</v>
      </c>
      <c r="D41" s="17" t="s">
        <v>3</v>
      </c>
      <c r="E41" s="17" t="s">
        <v>5</v>
      </c>
      <c r="F41" s="17" t="s">
        <v>7</v>
      </c>
      <c r="G41" s="17" t="s">
        <v>9</v>
      </c>
      <c r="H41" s="17" t="s">
        <v>11</v>
      </c>
      <c r="I41" s="17" t="s">
        <v>13</v>
      </c>
      <c r="J41" s="18" t="s">
        <v>15</v>
      </c>
      <c r="M41" s="15"/>
      <c r="N41" s="16" t="s">
        <v>1</v>
      </c>
      <c r="O41" s="17" t="s">
        <v>3</v>
      </c>
      <c r="P41" s="17" t="s">
        <v>5</v>
      </c>
      <c r="Q41" s="17" t="s">
        <v>7</v>
      </c>
      <c r="R41" s="17" t="s">
        <v>9</v>
      </c>
      <c r="S41" s="17" t="s">
        <v>11</v>
      </c>
      <c r="T41" s="17" t="s">
        <v>13</v>
      </c>
      <c r="U41" s="18" t="s">
        <v>15</v>
      </c>
    </row>
    <row r="42" spans="2:23" ht="15" thickBot="1" x14ac:dyDescent="0.4">
      <c r="B42" s="19" t="s">
        <v>0</v>
      </c>
      <c r="C42" s="20"/>
      <c r="D42" s="20"/>
      <c r="E42" s="20"/>
      <c r="F42" s="20"/>
      <c r="G42" s="20"/>
      <c r="H42" s="20"/>
      <c r="I42" s="20"/>
      <c r="J42" s="20">
        <v>1</v>
      </c>
      <c r="M42" s="19" t="s">
        <v>0</v>
      </c>
      <c r="N42" s="20"/>
      <c r="O42" s="20">
        <v>356</v>
      </c>
      <c r="P42" s="20"/>
      <c r="Q42" s="20">
        <v>395</v>
      </c>
      <c r="R42" s="20">
        <v>394</v>
      </c>
      <c r="S42" s="20">
        <v>473</v>
      </c>
      <c r="T42" s="20">
        <v>378</v>
      </c>
      <c r="U42" s="20">
        <v>497</v>
      </c>
    </row>
    <row r="43" spans="2:23" ht="15" thickBot="1" x14ac:dyDescent="0.4">
      <c r="B43" s="21" t="s">
        <v>2</v>
      </c>
      <c r="C43" s="20"/>
      <c r="D43" s="20"/>
      <c r="E43" s="20"/>
      <c r="F43" s="20">
        <v>1</v>
      </c>
      <c r="G43" s="20"/>
      <c r="H43" s="20"/>
      <c r="I43" s="20"/>
      <c r="J43" s="20"/>
      <c r="M43" s="21" t="s">
        <v>2</v>
      </c>
      <c r="N43" s="20">
        <v>416</v>
      </c>
      <c r="O43" s="20"/>
      <c r="P43" s="20">
        <v>492</v>
      </c>
      <c r="Q43" s="20">
        <v>401</v>
      </c>
      <c r="R43" s="20">
        <v>453</v>
      </c>
      <c r="S43" s="20">
        <v>504</v>
      </c>
      <c r="T43" s="20">
        <v>324</v>
      </c>
      <c r="U43" s="20">
        <v>491</v>
      </c>
    </row>
    <row r="44" spans="2:23" ht="15" thickBot="1" x14ac:dyDescent="0.4">
      <c r="B44" s="21" t="s">
        <v>4</v>
      </c>
      <c r="C44" s="20"/>
      <c r="D44" s="20">
        <v>1</v>
      </c>
      <c r="E44" s="20"/>
      <c r="F44" s="20"/>
      <c r="G44" s="20"/>
      <c r="H44" s="20"/>
      <c r="I44" s="20"/>
      <c r="J44" s="20"/>
      <c r="M44" s="21" t="s">
        <v>4</v>
      </c>
      <c r="N44" s="20">
        <v>424</v>
      </c>
      <c r="O44" s="20">
        <v>360</v>
      </c>
      <c r="P44" s="20"/>
      <c r="Q44" s="20">
        <v>416</v>
      </c>
      <c r="R44" s="20">
        <v>402</v>
      </c>
      <c r="S44" s="20"/>
      <c r="T44" s="20">
        <v>415</v>
      </c>
      <c r="U44" s="20"/>
    </row>
    <row r="45" spans="2:23" ht="15" thickBot="1" x14ac:dyDescent="0.4">
      <c r="B45" s="21" t="s">
        <v>6</v>
      </c>
      <c r="C45" s="20"/>
      <c r="D45" s="20"/>
      <c r="E45" s="20"/>
      <c r="F45" s="20"/>
      <c r="G45" s="20"/>
      <c r="H45" s="20"/>
      <c r="I45" s="20">
        <v>1</v>
      </c>
      <c r="J45" s="20"/>
      <c r="M45" s="21" t="s">
        <v>6</v>
      </c>
      <c r="N45" s="20">
        <v>423</v>
      </c>
      <c r="O45" s="20">
        <v>357</v>
      </c>
      <c r="P45" s="20">
        <v>534</v>
      </c>
      <c r="Q45" s="20"/>
      <c r="R45" s="20">
        <v>372</v>
      </c>
      <c r="S45" s="20"/>
      <c r="T45" s="20">
        <v>343</v>
      </c>
      <c r="U45" s="20"/>
    </row>
    <row r="46" spans="2:23" ht="15" thickBot="1" x14ac:dyDescent="0.4">
      <c r="B46" s="21" t="s">
        <v>8</v>
      </c>
      <c r="C46" s="20"/>
      <c r="D46" s="20"/>
      <c r="E46" s="20">
        <v>1</v>
      </c>
      <c r="F46" s="20"/>
      <c r="G46" s="20"/>
      <c r="H46" s="20"/>
      <c r="I46" s="20"/>
      <c r="J46" s="20"/>
      <c r="M46" s="21" t="s">
        <v>8</v>
      </c>
      <c r="N46" s="20"/>
      <c r="O46" s="20">
        <v>359</v>
      </c>
      <c r="P46" s="20">
        <v>506</v>
      </c>
      <c r="Q46" s="20">
        <v>417</v>
      </c>
      <c r="R46" s="20"/>
      <c r="S46" s="20">
        <v>509</v>
      </c>
      <c r="T46" s="20">
        <v>361</v>
      </c>
      <c r="U46" s="20">
        <v>496</v>
      </c>
    </row>
    <row r="47" spans="2:23" ht="15" thickBot="1" x14ac:dyDescent="0.4">
      <c r="B47" s="21" t="s">
        <v>10</v>
      </c>
      <c r="C47" s="20">
        <v>1</v>
      </c>
      <c r="D47" s="20"/>
      <c r="E47" s="20"/>
      <c r="F47" s="20"/>
      <c r="G47" s="20"/>
      <c r="H47" s="20"/>
      <c r="I47" s="20"/>
      <c r="J47" s="20"/>
      <c r="M47" s="21" t="s">
        <v>10</v>
      </c>
      <c r="N47" s="20">
        <v>409</v>
      </c>
      <c r="O47" s="20">
        <v>358</v>
      </c>
      <c r="P47" s="20">
        <v>472</v>
      </c>
      <c r="Q47" s="20"/>
      <c r="R47" s="20"/>
      <c r="S47" s="20"/>
      <c r="T47" s="20">
        <v>358</v>
      </c>
      <c r="U47" s="20">
        <v>506</v>
      </c>
    </row>
    <row r="48" spans="2:23" ht="15" thickBot="1" x14ac:dyDescent="0.4">
      <c r="B48" s="21" t="s">
        <v>12</v>
      </c>
      <c r="C48" s="20"/>
      <c r="D48" s="20"/>
      <c r="E48" s="20"/>
      <c r="F48" s="20"/>
      <c r="G48" s="20"/>
      <c r="H48" s="20">
        <v>1</v>
      </c>
      <c r="I48" s="20"/>
      <c r="J48" s="20"/>
      <c r="M48" s="21" t="s">
        <v>12</v>
      </c>
      <c r="N48" s="20">
        <v>392</v>
      </c>
      <c r="O48" s="20">
        <v>347</v>
      </c>
      <c r="P48" s="20"/>
      <c r="Q48" s="20">
        <v>432</v>
      </c>
      <c r="R48" s="20">
        <v>431</v>
      </c>
      <c r="S48" s="20">
        <v>493</v>
      </c>
      <c r="T48" s="20"/>
      <c r="U48" s="20">
        <v>499</v>
      </c>
    </row>
    <row r="49" spans="2:21" ht="15" thickBot="1" x14ac:dyDescent="0.4">
      <c r="B49" s="22" t="s">
        <v>14</v>
      </c>
      <c r="C49" s="20"/>
      <c r="D49" s="20"/>
      <c r="E49" s="20"/>
      <c r="F49" s="20"/>
      <c r="G49" s="20">
        <v>1</v>
      </c>
      <c r="H49" s="20"/>
      <c r="I49" s="20"/>
      <c r="J49" s="20"/>
      <c r="M49" s="22" t="s">
        <v>14</v>
      </c>
      <c r="N49" s="20">
        <v>422</v>
      </c>
      <c r="O49" s="20">
        <v>364</v>
      </c>
      <c r="P49" s="20">
        <v>495</v>
      </c>
      <c r="Q49" s="20">
        <v>457</v>
      </c>
      <c r="R49" s="20">
        <v>433</v>
      </c>
      <c r="S49" s="20">
        <v>517</v>
      </c>
      <c r="T49" s="20">
        <v>347</v>
      </c>
      <c r="U49" s="20"/>
    </row>
    <row r="50" spans="2:21" x14ac:dyDescent="0.35">
      <c r="M50" s="24" t="s">
        <v>25</v>
      </c>
      <c r="N50" s="24">
        <f>SUM(N42:N49)</f>
        <v>2486</v>
      </c>
      <c r="O50" s="24">
        <f t="shared" ref="O50:U50" si="2">SUM(O42:O49)</f>
        <v>2501</v>
      </c>
      <c r="P50" s="24">
        <f t="shared" si="2"/>
        <v>2499</v>
      </c>
      <c r="Q50" s="24">
        <f t="shared" si="2"/>
        <v>2518</v>
      </c>
      <c r="R50" s="24">
        <f t="shared" si="2"/>
        <v>2485</v>
      </c>
      <c r="S50" s="24">
        <f t="shared" si="2"/>
        <v>2496</v>
      </c>
      <c r="T50" s="24">
        <f t="shared" si="2"/>
        <v>2526</v>
      </c>
      <c r="U50" s="24">
        <f t="shared" si="2"/>
        <v>2489</v>
      </c>
    </row>
    <row r="51" spans="2:21" x14ac:dyDescent="0.35">
      <c r="M51" s="24" t="s">
        <v>26</v>
      </c>
      <c r="N51" s="25">
        <f>N50/SUM($N$50:$U$50)</f>
        <v>0.12429999999999999</v>
      </c>
      <c r="O51" s="25">
        <f t="shared" ref="O51:U51" si="3">O50/SUM($N$50:$U$50)</f>
        <v>0.12504999999999999</v>
      </c>
      <c r="P51" s="25">
        <f t="shared" si="3"/>
        <v>0.12495000000000001</v>
      </c>
      <c r="Q51" s="25">
        <f t="shared" si="3"/>
        <v>0.12590000000000001</v>
      </c>
      <c r="R51" s="25">
        <f t="shared" si="3"/>
        <v>0.12425</v>
      </c>
      <c r="S51" s="25">
        <f t="shared" si="3"/>
        <v>0.12479999999999999</v>
      </c>
      <c r="T51" s="25">
        <f t="shared" si="3"/>
        <v>0.1263</v>
      </c>
      <c r="U51" s="25">
        <f t="shared" si="3"/>
        <v>0.12445000000000001</v>
      </c>
    </row>
    <row r="53" spans="2:21" ht="19" thickBot="1" x14ac:dyDescent="0.5">
      <c r="B53" s="1" t="s">
        <v>21</v>
      </c>
      <c r="C53" s="1"/>
      <c r="D53" s="1"/>
      <c r="E53" s="1"/>
      <c r="F53" s="1"/>
      <c r="G53" s="1"/>
      <c r="H53" s="1"/>
      <c r="I53" s="1"/>
      <c r="J53" s="1"/>
      <c r="M53" s="1" t="s">
        <v>27</v>
      </c>
      <c r="N53" s="1"/>
      <c r="O53" s="1"/>
      <c r="P53" s="1"/>
      <c r="Q53" s="1"/>
      <c r="R53" s="1"/>
      <c r="S53" s="1"/>
      <c r="T53" s="1"/>
      <c r="U53" s="1"/>
    </row>
    <row r="54" spans="2:21" ht="15" thickBot="1" x14ac:dyDescent="0.4">
      <c r="B54" s="15"/>
      <c r="C54" s="16" t="s">
        <v>1</v>
      </c>
      <c r="D54" s="17" t="s">
        <v>3</v>
      </c>
      <c r="E54" s="17" t="s">
        <v>5</v>
      </c>
      <c r="F54" s="17" t="s">
        <v>7</v>
      </c>
      <c r="G54" s="17" t="s">
        <v>9</v>
      </c>
      <c r="H54" s="17" t="s">
        <v>11</v>
      </c>
      <c r="I54" s="17" t="s">
        <v>13</v>
      </c>
      <c r="J54" s="18" t="s">
        <v>15</v>
      </c>
      <c r="M54" s="15"/>
      <c r="N54" s="16" t="s">
        <v>1</v>
      </c>
      <c r="O54" s="17" t="s">
        <v>3</v>
      </c>
      <c r="P54" s="17" t="s">
        <v>5</v>
      </c>
      <c r="Q54" s="17" t="s">
        <v>7</v>
      </c>
      <c r="R54" s="17" t="s">
        <v>9</v>
      </c>
      <c r="S54" s="17" t="s">
        <v>11</v>
      </c>
      <c r="T54" s="17" t="s">
        <v>13</v>
      </c>
      <c r="U54" s="18" t="s">
        <v>15</v>
      </c>
    </row>
    <row r="55" spans="2:21" ht="15" thickBot="1" x14ac:dyDescent="0.4">
      <c r="B55" s="19" t="s">
        <v>0</v>
      </c>
      <c r="C55" s="20">
        <v>0</v>
      </c>
      <c r="D55" s="20">
        <v>0</v>
      </c>
      <c r="E55" s="20">
        <v>0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M55" s="19" t="s">
        <v>0</v>
      </c>
      <c r="N55" s="26">
        <f>N42/N$50</f>
        <v>0</v>
      </c>
      <c r="O55" s="26">
        <f t="shared" ref="O55:U55" si="4">O42/O$50</f>
        <v>0.14234306277489003</v>
      </c>
      <c r="P55" s="26">
        <f t="shared" si="4"/>
        <v>0</v>
      </c>
      <c r="Q55" s="26">
        <f t="shared" si="4"/>
        <v>0.15687053216838762</v>
      </c>
      <c r="R55" s="26">
        <f t="shared" si="4"/>
        <v>0.15855130784708249</v>
      </c>
      <c r="S55" s="26">
        <f t="shared" si="4"/>
        <v>0.18950320512820512</v>
      </c>
      <c r="T55" s="26">
        <f t="shared" si="4"/>
        <v>0.1496437054631829</v>
      </c>
      <c r="U55" s="26">
        <f t="shared" si="4"/>
        <v>0.19967858577742065</v>
      </c>
    </row>
    <row r="56" spans="2:21" ht="15" thickBot="1" x14ac:dyDescent="0.4">
      <c r="B56" s="21" t="s">
        <v>2</v>
      </c>
      <c r="C56" s="20">
        <v>0</v>
      </c>
      <c r="D56" s="20">
        <v>0</v>
      </c>
      <c r="E56" s="20">
        <v>0</v>
      </c>
      <c r="F56" s="20">
        <v>0</v>
      </c>
      <c r="G56" s="20">
        <v>0</v>
      </c>
      <c r="H56" s="20">
        <v>0</v>
      </c>
      <c r="I56" s="20">
        <v>0</v>
      </c>
      <c r="J56" s="20">
        <v>0</v>
      </c>
      <c r="M56" s="21" t="s">
        <v>2</v>
      </c>
      <c r="N56" s="26">
        <f t="shared" ref="N56:U62" si="5">N43/N$50</f>
        <v>0.16733708769107</v>
      </c>
      <c r="O56" s="26">
        <f t="shared" si="5"/>
        <v>0</v>
      </c>
      <c r="P56" s="26">
        <f t="shared" si="5"/>
        <v>0.19687875150060025</v>
      </c>
      <c r="Q56" s="26">
        <f t="shared" si="5"/>
        <v>0.15925337569499604</v>
      </c>
      <c r="R56" s="26">
        <f t="shared" si="5"/>
        <v>0.18229376257545271</v>
      </c>
      <c r="S56" s="26">
        <f t="shared" si="5"/>
        <v>0.20192307692307693</v>
      </c>
      <c r="T56" s="26">
        <f t="shared" si="5"/>
        <v>0.12826603325415678</v>
      </c>
      <c r="U56" s="26">
        <f t="shared" si="5"/>
        <v>0.19726797910807553</v>
      </c>
    </row>
    <row r="57" spans="2:21" ht="15" thickBot="1" x14ac:dyDescent="0.4">
      <c r="B57" s="21" t="s">
        <v>4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M57" s="21" t="s">
        <v>4</v>
      </c>
      <c r="N57" s="26">
        <f t="shared" si="5"/>
        <v>0.17055510860820594</v>
      </c>
      <c r="O57" s="26">
        <f t="shared" si="5"/>
        <v>0.14394242303078769</v>
      </c>
      <c r="P57" s="26">
        <f t="shared" si="5"/>
        <v>0</v>
      </c>
      <c r="Q57" s="26">
        <f t="shared" si="5"/>
        <v>0.16521048451151707</v>
      </c>
      <c r="R57" s="26">
        <f t="shared" si="5"/>
        <v>0.16177062374245474</v>
      </c>
      <c r="S57" s="26">
        <f t="shared" si="5"/>
        <v>0</v>
      </c>
      <c r="T57" s="26">
        <f t="shared" si="5"/>
        <v>0.16429136975455266</v>
      </c>
      <c r="U57" s="26">
        <f t="shared" si="5"/>
        <v>0</v>
      </c>
    </row>
    <row r="58" spans="2:21" ht="15" thickBot="1" x14ac:dyDescent="0.4">
      <c r="B58" s="21" t="s">
        <v>6</v>
      </c>
      <c r="C58" s="20">
        <v>0</v>
      </c>
      <c r="D58" s="20">
        <v>0</v>
      </c>
      <c r="E58" s="20">
        <v>0</v>
      </c>
      <c r="F58" s="20">
        <v>0</v>
      </c>
      <c r="G58" s="20">
        <v>0</v>
      </c>
      <c r="H58" s="20">
        <v>0</v>
      </c>
      <c r="I58" s="20">
        <v>0</v>
      </c>
      <c r="J58" s="20">
        <v>0</v>
      </c>
      <c r="M58" s="21" t="s">
        <v>6</v>
      </c>
      <c r="N58" s="26">
        <f t="shared" si="5"/>
        <v>0.17015285599356395</v>
      </c>
      <c r="O58" s="26">
        <f t="shared" si="5"/>
        <v>0.14274290283886445</v>
      </c>
      <c r="P58" s="26">
        <f t="shared" si="5"/>
        <v>0.21368547418967587</v>
      </c>
      <c r="Q58" s="26">
        <f t="shared" si="5"/>
        <v>0</v>
      </c>
      <c r="R58" s="26">
        <f t="shared" si="5"/>
        <v>0.14969818913480884</v>
      </c>
      <c r="S58" s="26">
        <f t="shared" si="5"/>
        <v>0</v>
      </c>
      <c r="T58" s="26">
        <f t="shared" si="5"/>
        <v>0.13578780680918448</v>
      </c>
      <c r="U58" s="26">
        <f t="shared" si="5"/>
        <v>0</v>
      </c>
    </row>
    <row r="59" spans="2:21" ht="15" thickBot="1" x14ac:dyDescent="0.4">
      <c r="B59" s="21" t="s">
        <v>8</v>
      </c>
      <c r="C59" s="20">
        <v>0</v>
      </c>
      <c r="D59" s="20">
        <v>0</v>
      </c>
      <c r="E59" s="20">
        <v>0</v>
      </c>
      <c r="F59" s="20">
        <v>0</v>
      </c>
      <c r="G59" s="20">
        <v>0</v>
      </c>
      <c r="H59" s="20">
        <v>0</v>
      </c>
      <c r="I59" s="20">
        <v>0</v>
      </c>
      <c r="J59" s="20">
        <v>0</v>
      </c>
      <c r="M59" s="21" t="s">
        <v>8</v>
      </c>
      <c r="N59" s="26">
        <f t="shared" si="5"/>
        <v>0</v>
      </c>
      <c r="O59" s="26">
        <f t="shared" si="5"/>
        <v>0.14354258296681327</v>
      </c>
      <c r="P59" s="26">
        <f t="shared" si="5"/>
        <v>0.20248099239695877</v>
      </c>
      <c r="Q59" s="26">
        <f t="shared" si="5"/>
        <v>0.16560762509928514</v>
      </c>
      <c r="R59" s="26">
        <f t="shared" si="5"/>
        <v>0</v>
      </c>
      <c r="S59" s="26">
        <f t="shared" si="5"/>
        <v>0.20392628205128205</v>
      </c>
      <c r="T59" s="26">
        <f t="shared" si="5"/>
        <v>0.14291369754552652</v>
      </c>
      <c r="U59" s="26">
        <f t="shared" si="5"/>
        <v>0.19927681799919647</v>
      </c>
    </row>
    <row r="60" spans="2:21" ht="15" thickBot="1" x14ac:dyDescent="0.4">
      <c r="B60" s="21" t="s">
        <v>10</v>
      </c>
      <c r="C60" s="20">
        <v>0</v>
      </c>
      <c r="D60" s="20">
        <v>0</v>
      </c>
      <c r="E60" s="20">
        <v>0</v>
      </c>
      <c r="F60" s="20">
        <v>0</v>
      </c>
      <c r="G60" s="20">
        <v>0</v>
      </c>
      <c r="H60" s="20">
        <v>0</v>
      </c>
      <c r="I60" s="20">
        <v>0</v>
      </c>
      <c r="J60" s="20">
        <v>0</v>
      </c>
      <c r="M60" s="21" t="s">
        <v>10</v>
      </c>
      <c r="N60" s="26">
        <f t="shared" si="5"/>
        <v>0.16452131938857603</v>
      </c>
      <c r="O60" s="26">
        <f t="shared" si="5"/>
        <v>0.14314274290283888</v>
      </c>
      <c r="P60" s="26">
        <f t="shared" si="5"/>
        <v>0.18887555022008803</v>
      </c>
      <c r="Q60" s="26">
        <f t="shared" si="5"/>
        <v>0</v>
      </c>
      <c r="R60" s="26">
        <f t="shared" si="5"/>
        <v>0</v>
      </c>
      <c r="S60" s="26">
        <f t="shared" si="5"/>
        <v>0</v>
      </c>
      <c r="T60" s="26">
        <f t="shared" si="5"/>
        <v>0.14172604908946951</v>
      </c>
      <c r="U60" s="26">
        <f t="shared" si="5"/>
        <v>0.20329449578143832</v>
      </c>
    </row>
    <row r="61" spans="2:21" ht="15" thickBot="1" x14ac:dyDescent="0.4">
      <c r="B61" s="21" t="s">
        <v>12</v>
      </c>
      <c r="C61" s="20">
        <v>0</v>
      </c>
      <c r="D61" s="20">
        <v>0</v>
      </c>
      <c r="E61" s="20">
        <v>0</v>
      </c>
      <c r="F61" s="20">
        <v>0</v>
      </c>
      <c r="G61" s="20">
        <v>0</v>
      </c>
      <c r="H61" s="20">
        <v>0</v>
      </c>
      <c r="I61" s="20">
        <v>0</v>
      </c>
      <c r="J61" s="20">
        <v>0</v>
      </c>
      <c r="M61" s="21" t="s">
        <v>12</v>
      </c>
      <c r="N61" s="26">
        <f t="shared" si="5"/>
        <v>0.1576830249396621</v>
      </c>
      <c r="O61" s="26">
        <f t="shared" si="5"/>
        <v>0.13874450219912035</v>
      </c>
      <c r="P61" s="26">
        <f t="shared" si="5"/>
        <v>0</v>
      </c>
      <c r="Q61" s="26">
        <f t="shared" si="5"/>
        <v>0.17156473391580621</v>
      </c>
      <c r="R61" s="26">
        <f t="shared" si="5"/>
        <v>0.17344064386317906</v>
      </c>
      <c r="S61" s="26">
        <f t="shared" si="5"/>
        <v>0.19751602564102563</v>
      </c>
      <c r="T61" s="26">
        <f t="shared" si="5"/>
        <v>0</v>
      </c>
      <c r="U61" s="26">
        <f t="shared" si="5"/>
        <v>0.20048212133386903</v>
      </c>
    </row>
    <row r="62" spans="2:21" ht="15" thickBot="1" x14ac:dyDescent="0.4">
      <c r="B62" s="22" t="s">
        <v>14</v>
      </c>
      <c r="C62" s="20">
        <v>0</v>
      </c>
      <c r="D62" s="20">
        <v>0</v>
      </c>
      <c r="E62" s="20">
        <v>0</v>
      </c>
      <c r="F62" s="20">
        <v>0</v>
      </c>
      <c r="G62" s="20">
        <v>0</v>
      </c>
      <c r="H62" s="20">
        <v>0</v>
      </c>
      <c r="I62" s="20">
        <v>0</v>
      </c>
      <c r="J62" s="20">
        <v>0</v>
      </c>
      <c r="M62" s="22" t="s">
        <v>14</v>
      </c>
      <c r="N62" s="26">
        <f t="shared" si="5"/>
        <v>0.16975060337892195</v>
      </c>
      <c r="O62" s="26">
        <f t="shared" si="5"/>
        <v>0.14554178328668532</v>
      </c>
      <c r="P62" s="26">
        <f t="shared" si="5"/>
        <v>0.19807923169267708</v>
      </c>
      <c r="Q62" s="26">
        <f t="shared" si="5"/>
        <v>0.18149324861000793</v>
      </c>
      <c r="R62" s="26">
        <f t="shared" si="5"/>
        <v>0.17424547283702213</v>
      </c>
      <c r="S62" s="26">
        <f t="shared" si="5"/>
        <v>0.20713141025641027</v>
      </c>
      <c r="T62" s="26">
        <f t="shared" si="5"/>
        <v>0.13737133808392715</v>
      </c>
      <c r="U62" s="26">
        <f t="shared" si="5"/>
        <v>0</v>
      </c>
    </row>
  </sheetData>
  <mergeCells count="7">
    <mergeCell ref="L40:W40"/>
    <mergeCell ref="M53:U53"/>
    <mergeCell ref="B16:J16"/>
    <mergeCell ref="B28:J28"/>
    <mergeCell ref="B2:J2"/>
    <mergeCell ref="B40:J40"/>
    <mergeCell ref="B53:J53"/>
  </mergeCells>
  <conditionalFormatting sqref="C18:J18">
    <cfRule type="expression" dxfId="19" priority="20">
      <formula>C18=0</formula>
    </cfRule>
    <cfRule type="expression" dxfId="18" priority="21">
      <formula>C18=1</formula>
    </cfRule>
  </conditionalFormatting>
  <conditionalFormatting sqref="C19:J19">
    <cfRule type="expression" dxfId="17" priority="18">
      <formula>C19=0</formula>
    </cfRule>
    <cfRule type="expression" dxfId="16" priority="19">
      <formula>C19=1</formula>
    </cfRule>
  </conditionalFormatting>
  <conditionalFormatting sqref="C20:J20">
    <cfRule type="expression" dxfId="15" priority="16">
      <formula>C20=0</formula>
    </cfRule>
    <cfRule type="expression" dxfId="14" priority="17">
      <formula>C20=1</formula>
    </cfRule>
  </conditionalFormatting>
  <conditionalFormatting sqref="C21:J21">
    <cfRule type="expression" dxfId="13" priority="14">
      <formula>C21=0</formula>
    </cfRule>
    <cfRule type="expression" dxfId="12" priority="15">
      <formula>C21=1</formula>
    </cfRule>
  </conditionalFormatting>
  <conditionalFormatting sqref="C22:J22">
    <cfRule type="expression" dxfId="11" priority="12">
      <formula>C22=0</formula>
    </cfRule>
    <cfRule type="expression" dxfId="10" priority="13">
      <formula>C22=1</formula>
    </cfRule>
  </conditionalFormatting>
  <conditionalFormatting sqref="C23:J23">
    <cfRule type="expression" dxfId="9" priority="10">
      <formula>C23=0</formula>
    </cfRule>
    <cfRule type="expression" dxfId="8" priority="11">
      <formula>C23=1</formula>
    </cfRule>
  </conditionalFormatting>
  <conditionalFormatting sqref="C24:J24">
    <cfRule type="expression" dxfId="7" priority="8">
      <formula>C24=0</formula>
    </cfRule>
    <cfRule type="expression" dxfId="6" priority="9">
      <formula>C24=1</formula>
    </cfRule>
  </conditionalFormatting>
  <conditionalFormatting sqref="C25:J25">
    <cfRule type="expression" dxfId="5" priority="6">
      <formula>C25=0</formula>
    </cfRule>
    <cfRule type="expression" dxfId="4" priority="7">
      <formula>C25=1</formula>
    </cfRule>
  </conditionalFormatting>
  <conditionalFormatting sqref="C4:J11">
    <cfRule type="expression" dxfId="3" priority="1">
      <formula>C4&gt;0.2</formula>
    </cfRule>
    <cfRule type="expression" dxfId="2" priority="2">
      <formula>AND(C4&gt;=0.15,C4&lt;0.2)</formula>
    </cfRule>
    <cfRule type="expression" dxfId="1" priority="3">
      <formula>AND(C4&lt;0.15,C4&lt;&gt;0)</formula>
    </cfRule>
    <cfRule type="expression" dxfId="0" priority="4">
      <formula>C4=0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Simulations">
                <anchor moveWithCells="1" sizeWithCells="1">
                  <from>
                    <xdr:col>3</xdr:col>
                    <xdr:colOff>1079500</xdr:colOff>
                    <xdr:row>11</xdr:row>
                    <xdr:rowOff>209550</xdr:rowOff>
                  </from>
                  <to>
                    <xdr:col>5</xdr:col>
                    <xdr:colOff>1143000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UCL</vt:lpstr>
      <vt:lpstr>All_Simulation_Results</vt:lpstr>
      <vt:lpstr>Blocked_Matchups</vt:lpstr>
      <vt:lpstr>Matchup_When_RunnerUp_1st</vt:lpstr>
      <vt:lpstr>Number_Simulations</vt:lpstr>
      <vt:lpstr>One_Simulation_Result</vt:lpstr>
      <vt:lpstr>Possible_Matchups</vt:lpstr>
      <vt:lpstr>Probabilities_Table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Patiño</dc:creator>
  <cp:lastModifiedBy>Carlos Patiño</cp:lastModifiedBy>
  <dcterms:created xsi:type="dcterms:W3CDTF">2016-12-08T14:11:40Z</dcterms:created>
  <dcterms:modified xsi:type="dcterms:W3CDTF">2017-09-20T21:54:43Z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Ref">
    <vt:lpwstr>https://api.informationprotection.azure.com/api/72f988bf-86f1-41af-91ab-2d7cd011db47</vt:lpwstr>
  </property>
  <property fmtid="{D5CDD505-2E9C-101B-9397-08002B2CF9AE}" pid="5" name="MSIP_Label_f42aa342-8706-4288-bd11-ebb85995028c_Owner">
    <vt:lpwstr>carpat@microsoft.com</vt:lpwstr>
  </property>
  <property fmtid="{D5CDD505-2E9C-101B-9397-08002B2CF9AE}" pid="6" name="MSIP_Label_f42aa342-8706-4288-bd11-ebb85995028c_SetDate">
    <vt:lpwstr>2017-09-20T15:16:32.7528942-05:00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