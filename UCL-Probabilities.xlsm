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pat\Desktop\"/>
    </mc:Choice>
  </mc:AlternateContent>
  <bookViews>
    <workbookView xWindow="0" yWindow="0" windowWidth="21600" windowHeight="8890"/>
  </bookViews>
  <sheets>
    <sheet name="UCL" sheetId="1" r:id="rId1"/>
  </sheets>
  <functionGroups builtInGroupCount="18"/>
  <definedNames>
    <definedName name="All_Simulation_Results">UCL!$C$30:$J$37</definedName>
    <definedName name="Blocked_Matchups">UCL!$C$55:$J$62</definedName>
    <definedName name="Matchup_When_RunnerUp_1st">UCL!$N$42:$U$49</definedName>
    <definedName name="Number_Simulations">UCL!$B$14</definedName>
    <definedName name="One_Simulation_Result">UCL!$C$42:$J$49</definedName>
    <definedName name="Possible_Matchups">UCL!$C$18:$J$25</definedName>
    <definedName name="Probabilities_Table">UCL!$C$4:$J$11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0" i="1" l="1"/>
  <c r="P50" i="1"/>
  <c r="Q50" i="1"/>
  <c r="R50" i="1"/>
  <c r="S50" i="1"/>
  <c r="T50" i="1"/>
  <c r="U50" i="1"/>
  <c r="N50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7" i="1"/>
  <c r="E7" i="1"/>
  <c r="F7" i="1"/>
  <c r="G7" i="1"/>
  <c r="H7" i="1"/>
  <c r="I7" i="1"/>
  <c r="J7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1" i="1"/>
  <c r="E11" i="1"/>
  <c r="F11" i="1"/>
  <c r="G11" i="1"/>
  <c r="H11" i="1"/>
  <c r="I11" i="1"/>
  <c r="J11" i="1"/>
  <c r="C5" i="1"/>
  <c r="C6" i="1"/>
  <c r="C7" i="1"/>
  <c r="C8" i="1"/>
  <c r="C9" i="1"/>
  <c r="C10" i="1"/>
  <c r="C11" i="1"/>
  <c r="C4" i="1"/>
  <c r="R61" i="1" l="1"/>
  <c r="R56" i="1"/>
  <c r="R60" i="1"/>
  <c r="R58" i="1"/>
  <c r="R55" i="1"/>
  <c r="R62" i="1"/>
  <c r="R59" i="1"/>
  <c r="R57" i="1"/>
  <c r="U62" i="1"/>
  <c r="U61" i="1"/>
  <c r="U60" i="1"/>
  <c r="U59" i="1"/>
  <c r="U58" i="1"/>
  <c r="U57" i="1"/>
  <c r="U56" i="1"/>
  <c r="U55" i="1"/>
  <c r="Q62" i="1"/>
  <c r="Q61" i="1"/>
  <c r="Q60" i="1"/>
  <c r="Q59" i="1"/>
  <c r="Q58" i="1"/>
  <c r="Q57" i="1"/>
  <c r="Q56" i="1"/>
  <c r="Q55" i="1"/>
  <c r="N60" i="1"/>
  <c r="N59" i="1"/>
  <c r="N58" i="1"/>
  <c r="N55" i="1"/>
  <c r="N62" i="1"/>
  <c r="N57" i="1"/>
  <c r="N61" i="1"/>
  <c r="N56" i="1"/>
  <c r="T62" i="1"/>
  <c r="T61" i="1"/>
  <c r="T60" i="1"/>
  <c r="T59" i="1"/>
  <c r="T58" i="1"/>
  <c r="T57" i="1"/>
  <c r="T56" i="1"/>
  <c r="T55" i="1"/>
  <c r="P62" i="1"/>
  <c r="P61" i="1"/>
  <c r="P60" i="1"/>
  <c r="P59" i="1"/>
  <c r="P58" i="1"/>
  <c r="P57" i="1"/>
  <c r="P56" i="1"/>
  <c r="P55" i="1"/>
  <c r="S62" i="1"/>
  <c r="S61" i="1"/>
  <c r="S60" i="1"/>
  <c r="S59" i="1"/>
  <c r="S58" i="1"/>
  <c r="S57" i="1"/>
  <c r="S56" i="1"/>
  <c r="S55" i="1"/>
  <c r="O62" i="1"/>
  <c r="O61" i="1"/>
  <c r="O60" i="1"/>
  <c r="O59" i="1"/>
  <c r="O58" i="1"/>
  <c r="O57" i="1"/>
  <c r="O56" i="1"/>
  <c r="O55" i="1"/>
  <c r="R51" i="1"/>
  <c r="Q51" i="1"/>
  <c r="T51" i="1"/>
  <c r="P51" i="1"/>
  <c r="N51" i="1"/>
  <c r="U51" i="1"/>
  <c r="S51" i="1"/>
  <c r="O51" i="1"/>
</calcChain>
</file>

<file path=xl/sharedStrings.xml><?xml version="1.0" encoding="utf-8"?>
<sst xmlns="http://schemas.openxmlformats.org/spreadsheetml/2006/main" count="123" uniqueCount="30">
  <si>
    <t>Arsenal</t>
  </si>
  <si>
    <t>PSG</t>
  </si>
  <si>
    <t>Napoli</t>
  </si>
  <si>
    <t>Benfica</t>
  </si>
  <si>
    <t>Barcelona</t>
  </si>
  <si>
    <t>Manchester City</t>
  </si>
  <si>
    <t>Atletico Madrid</t>
  </si>
  <si>
    <t>Bayern Munich</t>
  </si>
  <si>
    <t>Monaco</t>
  </si>
  <si>
    <t>Bayer Leverkusen</t>
  </si>
  <si>
    <t>Borussia Dortmund</t>
  </si>
  <si>
    <t>Real Madrid</t>
  </si>
  <si>
    <t>Leicester City</t>
  </si>
  <si>
    <t>Porto</t>
  </si>
  <si>
    <t>Juventus</t>
  </si>
  <si>
    <t>Sevilla</t>
  </si>
  <si>
    <t>Helper Table. 1 if match-up if possible, 0 otherwise</t>
  </si>
  <si>
    <t>Number of Simulations</t>
  </si>
  <si>
    <t>Computed Probabilities</t>
  </si>
  <si>
    <t>Helper Table. Matchup results for one simulation</t>
  </si>
  <si>
    <t>Helper Table. Combined matchup results for all simulations</t>
  </si>
  <si>
    <t>Helper Table. Blocked Matchups for One Simulation. 0 if blocked</t>
  </si>
  <si>
    <t>Leverkusen</t>
  </si>
  <si>
    <t>Dortmund</t>
  </si>
  <si>
    <t>Man City</t>
  </si>
  <si>
    <t>Total 1st round selections</t>
  </si>
  <si>
    <t>Percentage of 1st rd selec</t>
  </si>
  <si>
    <t>Validation Table. Match-up probabilities when runner-up team goes first in draw order. In each column, the percentages should be approximately equal</t>
  </si>
  <si>
    <t>Validation Table. The match-up choices for each runner-up team only when runner-up team goes first in draw order. Each runner-up team should be 1st in draw order in approximately 12.5% of the time</t>
  </si>
  <si>
    <t>Runner-Up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</si>
</sst>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 applyBorder="1"/>
    <xf numFmtId="0" fontId="1" fillId="3" borderId="1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0" fontId="1" fillId="3" borderId="5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0" fillId="2" borderId="6" xfId="0" applyFont="1" applyFill="1" applyBorder="1"/>
    <xf numFmtId="164" fontId="0" fillId="2" borderId="6" xfId="1" applyNumberFormat="1" applyFont="1" applyFill="1" applyBorder="1"/>
    <xf numFmtId="0" fontId="5" fillId="3" borderId="1" xfId="0" applyFont="1" applyFill="1" applyBorder="1"/>
    <xf numFmtId="0" fontId="5" fillId="3" borderId="5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5" fillId="3" borderId="7" xfId="0" applyFont="1" applyFill="1" applyBorder="1"/>
    <xf numFmtId="164" fontId="6" fillId="2" borderId="6" xfId="1" applyNumberFormat="1" applyFont="1" applyFill="1" applyBorder="1"/>
    <xf numFmtId="0" fontId="5" fillId="3" borderId="8" xfId="0" applyFont="1" applyFill="1" applyBorder="1"/>
    <xf numFmtId="0" fontId="5" fillId="3" borderId="9" xfId="0" applyFont="1" applyFill="1" applyBorder="1"/>
    <xf numFmtId="0" fontId="6" fillId="2" borderId="0" xfId="0" applyFont="1" applyFill="1" applyBorder="1"/>
    <xf numFmtId="0" fontId="6" fillId="5" borderId="2" xfId="0" applyFont="1" applyFill="1" applyBorder="1" applyAlignment="1">
      <alignment wrapText="1"/>
    </xf>
    <xf numFmtId="0" fontId="6" fillId="4" borderId="4" xfId="0" applyFont="1" applyFill="1" applyBorder="1"/>
    <xf numFmtId="0" fontId="4" fillId="2" borderId="0" xfId="0" applyFont="1" applyFill="1" applyBorder="1"/>
    <xf numFmtId="164" fontId="4" fillId="2" borderId="0" xfId="1" applyNumberFormat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8" fillId="2" borderId="0" xfId="0" applyFont="1" applyFill="1" applyBorder="1"/>
  </cellXfs>
  <cellStyles count="2">
    <cellStyle name="Normal" xfId="0" builtinId="0"/>
    <cellStyle name="Percent" xfId="1" builtinId="5"/>
  </cellStyles>
  <dxfs count="73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11</xdr:row>
          <xdr:rowOff>209550</xdr:rowOff>
        </xdr:from>
        <xdr:to>
          <xdr:col>5</xdr:col>
          <xdr:colOff>1143000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62"/>
  <sheetViews>
    <sheetView tabSelected="1" zoomScale="90" zoomScaleNormal="90" workbookViewId="0">
      <selection activeCell="B1" sqref="B1"/>
    </sheetView>
  </sheetViews>
  <sheetFormatPr defaultRowHeight="14.5" x14ac:dyDescent="0.35"/>
  <cols>
    <col min="1" max="1" width="2" style="1" customWidth="1"/>
    <col min="2" max="10" width="17.453125" style="1" customWidth="1"/>
    <col min="11" max="11" width="4.26953125" style="1" customWidth="1"/>
    <col min="12" max="12" width="20.90625" style="1" customWidth="1"/>
    <col min="13" max="13" width="22.6328125" style="1" customWidth="1"/>
    <col min="14" max="21" width="19.08984375" style="1" customWidth="1"/>
    <col min="22" max="16384" width="8.7265625" style="1"/>
  </cols>
  <sheetData>
    <row r="2" spans="2:12" ht="19" thickBot="1" x14ac:dyDescent="0.5">
      <c r="B2" s="24" t="s">
        <v>18</v>
      </c>
      <c r="C2" s="24"/>
      <c r="D2" s="24"/>
      <c r="E2" s="24"/>
      <c r="F2" s="24"/>
      <c r="G2" s="24"/>
      <c r="H2" s="24"/>
      <c r="I2" s="24"/>
      <c r="J2" s="24"/>
    </row>
    <row r="3" spans="2:12" ht="18.5" customHeight="1" thickBot="1" x14ac:dyDescent="0.55000000000000004">
      <c r="B3" s="11"/>
      <c r="C3" s="12" t="s">
        <v>1</v>
      </c>
      <c r="D3" s="13" t="s">
        <v>3</v>
      </c>
      <c r="E3" s="13" t="s">
        <v>24</v>
      </c>
      <c r="F3" s="13" t="s">
        <v>7</v>
      </c>
      <c r="G3" s="13" t="s">
        <v>22</v>
      </c>
      <c r="H3" s="13" t="s">
        <v>11</v>
      </c>
      <c r="I3" s="13" t="s">
        <v>13</v>
      </c>
      <c r="J3" s="14" t="s">
        <v>15</v>
      </c>
      <c r="L3" s="26" t="s">
        <v>29</v>
      </c>
    </row>
    <row r="4" spans="2:12" ht="18.5" customHeight="1" thickBot="1" x14ac:dyDescent="0.5">
      <c r="B4" s="15" t="s">
        <v>0</v>
      </c>
      <c r="C4" s="16">
        <f>C30/SUM(C$30:C$37)</f>
        <v>0</v>
      </c>
      <c r="D4" s="16">
        <f t="shared" ref="D4:J4" si="0">D30/SUM(D$30:D$37)</f>
        <v>0.12844359541524231</v>
      </c>
      <c r="E4" s="16">
        <f t="shared" si="0"/>
        <v>0</v>
      </c>
      <c r="F4" s="16">
        <f t="shared" si="0"/>
        <v>0.16815452884364396</v>
      </c>
      <c r="G4" s="16">
        <f t="shared" si="0"/>
        <v>0.15847331381311963</v>
      </c>
      <c r="H4" s="16">
        <f t="shared" si="0"/>
        <v>0.20694026303279989</v>
      </c>
      <c r="I4" s="16">
        <f t="shared" si="0"/>
        <v>0.13306956478189011</v>
      </c>
      <c r="J4" s="16">
        <f t="shared" si="0"/>
        <v>0.20168664905507011</v>
      </c>
    </row>
    <row r="5" spans="2:12" ht="18.5" customHeight="1" thickBot="1" x14ac:dyDescent="0.5">
      <c r="B5" s="17" t="s">
        <v>2</v>
      </c>
      <c r="C5" s="16">
        <f t="shared" ref="C5:J11" si="1">C31/SUM(C$30:C$37)</f>
        <v>0.13481768971504443</v>
      </c>
      <c r="D5" s="16">
        <f t="shared" si="1"/>
        <v>0</v>
      </c>
      <c r="E5" s="16">
        <f t="shared" si="1"/>
        <v>0.15946159936658749</v>
      </c>
      <c r="F5" s="16">
        <f t="shared" si="1"/>
        <v>0.13620464630644741</v>
      </c>
      <c r="G5" s="16">
        <f t="shared" si="1"/>
        <v>0.1390558380849643</v>
      </c>
      <c r="H5" s="16">
        <f t="shared" si="1"/>
        <v>0.17773200232398459</v>
      </c>
      <c r="I5" s="16">
        <f t="shared" si="1"/>
        <v>0.10993138678820052</v>
      </c>
      <c r="J5" s="16">
        <f t="shared" si="1"/>
        <v>0.16693761430603535</v>
      </c>
    </row>
    <row r="6" spans="2:12" ht="18.5" customHeight="1" thickBot="1" x14ac:dyDescent="0.5">
      <c r="B6" s="17" t="s">
        <v>4</v>
      </c>
      <c r="C6" s="16">
        <f t="shared" si="1"/>
        <v>0.20003064038402615</v>
      </c>
      <c r="D6" s="16">
        <f t="shared" si="1"/>
        <v>0.17057108385280514</v>
      </c>
      <c r="E6" s="16">
        <f t="shared" si="1"/>
        <v>0</v>
      </c>
      <c r="F6" s="16">
        <f t="shared" si="1"/>
        <v>0.22464108587836074</v>
      </c>
      <c r="G6" s="16">
        <f t="shared" si="1"/>
        <v>0.20491087481378745</v>
      </c>
      <c r="H6" s="16">
        <f t="shared" si="1"/>
        <v>0</v>
      </c>
      <c r="I6" s="16">
        <f t="shared" si="1"/>
        <v>0.17739269795162016</v>
      </c>
      <c r="J6" s="16">
        <f t="shared" si="1"/>
        <v>0</v>
      </c>
    </row>
    <row r="7" spans="2:12" ht="18.5" customHeight="1" thickBot="1" x14ac:dyDescent="0.5">
      <c r="B7" s="17" t="s">
        <v>6</v>
      </c>
      <c r="C7" s="16">
        <f t="shared" si="1"/>
        <v>0.19477070779287101</v>
      </c>
      <c r="D7" s="16">
        <f t="shared" si="1"/>
        <v>0.16871103961391515</v>
      </c>
      <c r="E7" s="16">
        <f t="shared" si="1"/>
        <v>0.25040907891264186</v>
      </c>
      <c r="F7" s="16">
        <f t="shared" si="1"/>
        <v>0</v>
      </c>
      <c r="G7" s="16">
        <f t="shared" si="1"/>
        <v>0.19689731340216776</v>
      </c>
      <c r="H7" s="16">
        <f t="shared" si="1"/>
        <v>0</v>
      </c>
      <c r="I7" s="16">
        <f t="shared" si="1"/>
        <v>0.17123253368057295</v>
      </c>
      <c r="J7" s="16">
        <f t="shared" si="1"/>
        <v>0</v>
      </c>
    </row>
    <row r="8" spans="2:12" ht="18.5" customHeight="1" thickBot="1" x14ac:dyDescent="0.5">
      <c r="B8" s="17" t="s">
        <v>8</v>
      </c>
      <c r="C8" s="16">
        <f t="shared" si="1"/>
        <v>0</v>
      </c>
      <c r="D8" s="16">
        <f t="shared" si="1"/>
        <v>0.13025336818821637</v>
      </c>
      <c r="E8" s="16">
        <f t="shared" si="1"/>
        <v>0.18849300607020322</v>
      </c>
      <c r="F8" s="16">
        <f t="shared" si="1"/>
        <v>0.15327590707387106</v>
      </c>
      <c r="G8" s="16">
        <f t="shared" si="1"/>
        <v>0</v>
      </c>
      <c r="H8" s="16">
        <f t="shared" si="1"/>
        <v>0.21132414303068717</v>
      </c>
      <c r="I8" s="16">
        <f t="shared" si="1"/>
        <v>0.128912705964842</v>
      </c>
      <c r="J8" s="16">
        <f t="shared" si="1"/>
        <v>0.19264377159114002</v>
      </c>
    </row>
    <row r="9" spans="2:12" ht="18.5" customHeight="1" thickBot="1" x14ac:dyDescent="0.5">
      <c r="B9" s="17" t="s">
        <v>23</v>
      </c>
      <c r="C9" s="16">
        <f t="shared" si="1"/>
        <v>0.18246348687570219</v>
      </c>
      <c r="D9" s="16">
        <f t="shared" si="1"/>
        <v>0.15302634224813996</v>
      </c>
      <c r="E9" s="16">
        <f t="shared" si="1"/>
        <v>0.22934811295856428</v>
      </c>
      <c r="F9" s="16">
        <f t="shared" si="1"/>
        <v>0</v>
      </c>
      <c r="G9" s="16">
        <f t="shared" si="1"/>
        <v>0</v>
      </c>
      <c r="H9" s="16">
        <f t="shared" si="1"/>
        <v>0</v>
      </c>
      <c r="I9" s="16">
        <f t="shared" si="1"/>
        <v>0.15956327941102819</v>
      </c>
      <c r="J9" s="16">
        <f t="shared" si="1"/>
        <v>0.24603739077423287</v>
      </c>
    </row>
    <row r="10" spans="2:12" ht="18.5" customHeight="1" thickBot="1" x14ac:dyDescent="0.5">
      <c r="B10" s="17" t="s">
        <v>12</v>
      </c>
      <c r="C10" s="16">
        <f t="shared" si="1"/>
        <v>0.14824839137983864</v>
      </c>
      <c r="D10" s="16">
        <f t="shared" si="1"/>
        <v>0.13020309672230043</v>
      </c>
      <c r="E10" s="16">
        <f t="shared" si="1"/>
        <v>0</v>
      </c>
      <c r="F10" s="16">
        <f t="shared" si="1"/>
        <v>0.16476115896632734</v>
      </c>
      <c r="G10" s="16">
        <f t="shared" si="1"/>
        <v>0.16212051163507474</v>
      </c>
      <c r="H10" s="16">
        <f t="shared" si="1"/>
        <v>0.21359530977658056</v>
      </c>
      <c r="I10" s="16">
        <f t="shared" si="1"/>
        <v>0</v>
      </c>
      <c r="J10" s="16">
        <f t="shared" si="1"/>
        <v>0.19269457427352163</v>
      </c>
    </row>
    <row r="11" spans="2:12" ht="18.5" customHeight="1" thickBot="1" x14ac:dyDescent="0.5">
      <c r="B11" s="18" t="s">
        <v>14</v>
      </c>
      <c r="C11" s="16">
        <f t="shared" si="1"/>
        <v>0.13966908385251761</v>
      </c>
      <c r="D11" s="16">
        <f t="shared" si="1"/>
        <v>0.11879147395938065</v>
      </c>
      <c r="E11" s="16">
        <f t="shared" si="1"/>
        <v>0.17228820269200318</v>
      </c>
      <c r="F11" s="16">
        <f t="shared" si="1"/>
        <v>0.15296267293134952</v>
      </c>
      <c r="G11" s="16">
        <f t="shared" si="1"/>
        <v>0.13854214825088612</v>
      </c>
      <c r="H11" s="16">
        <f t="shared" si="1"/>
        <v>0.19040828183594782</v>
      </c>
      <c r="I11" s="16">
        <f t="shared" si="1"/>
        <v>0.11989783142184604</v>
      </c>
      <c r="J11" s="16">
        <f t="shared" si="1"/>
        <v>0</v>
      </c>
    </row>
    <row r="12" spans="2:12" ht="19" thickBot="1" x14ac:dyDescent="0.5">
      <c r="B12" s="19"/>
      <c r="C12" s="19"/>
      <c r="D12" s="19"/>
      <c r="E12" s="19"/>
      <c r="F12" s="19"/>
      <c r="G12" s="19"/>
      <c r="H12" s="19"/>
      <c r="I12" s="19"/>
      <c r="J12" s="19"/>
    </row>
    <row r="13" spans="2:12" ht="34.5" customHeight="1" x14ac:dyDescent="0.45">
      <c r="B13" s="20" t="s">
        <v>17</v>
      </c>
      <c r="C13" s="19"/>
      <c r="D13" s="19"/>
      <c r="E13" s="19"/>
      <c r="F13" s="19"/>
      <c r="G13" s="19"/>
      <c r="H13" s="19"/>
      <c r="I13" s="19"/>
      <c r="J13" s="19"/>
    </row>
    <row r="14" spans="2:12" ht="19" thickBot="1" x14ac:dyDescent="0.5">
      <c r="B14" s="21">
        <v>20000</v>
      </c>
      <c r="C14" s="19"/>
      <c r="D14" s="19"/>
      <c r="E14" s="19"/>
      <c r="F14" s="19"/>
      <c r="G14" s="19"/>
      <c r="H14" s="19"/>
      <c r="I14" s="19"/>
      <c r="J14" s="19"/>
    </row>
    <row r="16" spans="2:12" ht="19" thickBot="1" x14ac:dyDescent="0.5">
      <c r="B16" s="24" t="s">
        <v>16</v>
      </c>
      <c r="C16" s="24"/>
      <c r="D16" s="24"/>
      <c r="E16" s="24"/>
      <c r="F16" s="24"/>
      <c r="G16" s="24"/>
      <c r="H16" s="24"/>
      <c r="I16" s="24"/>
      <c r="J16" s="24"/>
    </row>
    <row r="17" spans="2:10" ht="15" thickBot="1" x14ac:dyDescent="0.4">
      <c r="B17" s="2"/>
      <c r="C17" s="6" t="s">
        <v>1</v>
      </c>
      <c r="D17" s="7" t="s">
        <v>3</v>
      </c>
      <c r="E17" s="7" t="s">
        <v>5</v>
      </c>
      <c r="F17" s="7" t="s">
        <v>7</v>
      </c>
      <c r="G17" s="7" t="s">
        <v>9</v>
      </c>
      <c r="H17" s="7" t="s">
        <v>11</v>
      </c>
      <c r="I17" s="7" t="s">
        <v>13</v>
      </c>
      <c r="J17" s="8" t="s">
        <v>15</v>
      </c>
    </row>
    <row r="18" spans="2:10" ht="15" thickBot="1" x14ac:dyDescent="0.4">
      <c r="B18" s="3" t="s">
        <v>0</v>
      </c>
      <c r="C18" s="9">
        <v>0</v>
      </c>
      <c r="D18" s="9">
        <v>1</v>
      </c>
      <c r="E18" s="9">
        <v>0</v>
      </c>
      <c r="F18" s="9">
        <v>1</v>
      </c>
      <c r="G18" s="9">
        <v>1</v>
      </c>
      <c r="H18" s="9">
        <v>1</v>
      </c>
      <c r="I18" s="9">
        <v>1</v>
      </c>
      <c r="J18" s="9">
        <v>1</v>
      </c>
    </row>
    <row r="19" spans="2:10" ht="15" thickBot="1" x14ac:dyDescent="0.4">
      <c r="B19" s="4" t="s">
        <v>2</v>
      </c>
      <c r="C19" s="9">
        <v>1</v>
      </c>
      <c r="D19" s="9">
        <v>0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</row>
    <row r="20" spans="2:10" ht="15" thickBot="1" x14ac:dyDescent="0.4">
      <c r="B20" s="4" t="s">
        <v>4</v>
      </c>
      <c r="C20" s="9">
        <v>1</v>
      </c>
      <c r="D20" s="9">
        <v>1</v>
      </c>
      <c r="E20" s="9">
        <v>0</v>
      </c>
      <c r="F20" s="9">
        <v>1</v>
      </c>
      <c r="G20" s="9">
        <v>1</v>
      </c>
      <c r="H20" s="9">
        <v>0</v>
      </c>
      <c r="I20" s="9">
        <v>1</v>
      </c>
      <c r="J20" s="9">
        <v>0</v>
      </c>
    </row>
    <row r="21" spans="2:10" ht="15" thickBot="1" x14ac:dyDescent="0.4">
      <c r="B21" s="4" t="s">
        <v>6</v>
      </c>
      <c r="C21" s="9">
        <v>1</v>
      </c>
      <c r="D21" s="9">
        <v>1</v>
      </c>
      <c r="E21" s="9">
        <v>1</v>
      </c>
      <c r="F21" s="9">
        <v>0</v>
      </c>
      <c r="G21" s="9">
        <v>1</v>
      </c>
      <c r="H21" s="9">
        <v>0</v>
      </c>
      <c r="I21" s="9">
        <v>1</v>
      </c>
      <c r="J21" s="9">
        <v>0</v>
      </c>
    </row>
    <row r="22" spans="2:10" ht="15" thickBot="1" x14ac:dyDescent="0.4">
      <c r="B22" s="4" t="s">
        <v>8</v>
      </c>
      <c r="C22" s="9">
        <v>0</v>
      </c>
      <c r="D22" s="9">
        <v>1</v>
      </c>
      <c r="E22" s="9">
        <v>1</v>
      </c>
      <c r="F22" s="9">
        <v>1</v>
      </c>
      <c r="G22" s="9">
        <v>0</v>
      </c>
      <c r="H22" s="9">
        <v>1</v>
      </c>
      <c r="I22" s="9">
        <v>1</v>
      </c>
      <c r="J22" s="9">
        <v>1</v>
      </c>
    </row>
    <row r="23" spans="2:10" ht="15" thickBot="1" x14ac:dyDescent="0.4">
      <c r="B23" s="4" t="s">
        <v>10</v>
      </c>
      <c r="C23" s="9">
        <v>1</v>
      </c>
      <c r="D23" s="9">
        <v>1</v>
      </c>
      <c r="E23" s="9">
        <v>1</v>
      </c>
      <c r="F23" s="9">
        <v>0</v>
      </c>
      <c r="G23" s="9">
        <v>0</v>
      </c>
      <c r="H23" s="9">
        <v>0</v>
      </c>
      <c r="I23" s="9">
        <v>1</v>
      </c>
      <c r="J23" s="9">
        <v>1</v>
      </c>
    </row>
    <row r="24" spans="2:10" ht="15" thickBot="1" x14ac:dyDescent="0.4">
      <c r="B24" s="4" t="s">
        <v>12</v>
      </c>
      <c r="C24" s="9">
        <v>1</v>
      </c>
      <c r="D24" s="9">
        <v>1</v>
      </c>
      <c r="E24" s="9">
        <v>0</v>
      </c>
      <c r="F24" s="9">
        <v>1</v>
      </c>
      <c r="G24" s="9">
        <v>1</v>
      </c>
      <c r="H24" s="9">
        <v>1</v>
      </c>
      <c r="I24" s="9">
        <v>0</v>
      </c>
      <c r="J24" s="9">
        <v>1</v>
      </c>
    </row>
    <row r="25" spans="2:10" ht="15" thickBot="1" x14ac:dyDescent="0.4">
      <c r="B25" s="5" t="s">
        <v>14</v>
      </c>
      <c r="C25" s="9">
        <v>1</v>
      </c>
      <c r="D25" s="9">
        <v>1</v>
      </c>
      <c r="E25" s="9">
        <v>1</v>
      </c>
      <c r="F25" s="9">
        <v>1</v>
      </c>
      <c r="G25" s="9">
        <v>1</v>
      </c>
      <c r="H25" s="9">
        <v>1</v>
      </c>
      <c r="I25" s="9">
        <v>1</v>
      </c>
      <c r="J25" s="9">
        <v>0</v>
      </c>
    </row>
    <row r="28" spans="2:10" ht="19" thickBot="1" x14ac:dyDescent="0.5">
      <c r="B28" s="24" t="s">
        <v>20</v>
      </c>
      <c r="C28" s="24"/>
      <c r="D28" s="24"/>
      <c r="E28" s="24"/>
      <c r="F28" s="24"/>
      <c r="G28" s="24"/>
      <c r="H28" s="24"/>
      <c r="I28" s="24"/>
      <c r="J28" s="24"/>
    </row>
    <row r="29" spans="2:10" ht="15" thickBot="1" x14ac:dyDescent="0.4">
      <c r="B29" s="2"/>
      <c r="C29" s="6" t="s">
        <v>1</v>
      </c>
      <c r="D29" s="7" t="s">
        <v>3</v>
      </c>
      <c r="E29" s="7" t="s">
        <v>5</v>
      </c>
      <c r="F29" s="7" t="s">
        <v>7</v>
      </c>
      <c r="G29" s="7" t="s">
        <v>9</v>
      </c>
      <c r="H29" s="7" t="s">
        <v>11</v>
      </c>
      <c r="I29" s="7" t="s">
        <v>13</v>
      </c>
      <c r="J29" s="8" t="s">
        <v>15</v>
      </c>
    </row>
    <row r="30" spans="2:10" ht="15" thickBot="1" x14ac:dyDescent="0.4">
      <c r="B30" s="3" t="s">
        <v>0</v>
      </c>
      <c r="C30" s="9">
        <v>0</v>
      </c>
      <c r="D30" s="9">
        <v>2555</v>
      </c>
      <c r="E30" s="9">
        <v>0</v>
      </c>
      <c r="F30" s="9">
        <v>3221</v>
      </c>
      <c r="G30" s="9">
        <v>3085</v>
      </c>
      <c r="H30" s="9">
        <v>3918</v>
      </c>
      <c r="I30" s="9">
        <v>2657</v>
      </c>
      <c r="J30" s="9">
        <v>3970</v>
      </c>
    </row>
    <row r="31" spans="2:10" ht="15" thickBot="1" x14ac:dyDescent="0.4">
      <c r="B31" s="4" t="s">
        <v>2</v>
      </c>
      <c r="C31" s="9">
        <v>2640</v>
      </c>
      <c r="D31" s="9">
        <v>0</v>
      </c>
      <c r="E31" s="9">
        <v>3021</v>
      </c>
      <c r="F31" s="9">
        <v>2609</v>
      </c>
      <c r="G31" s="9">
        <v>2707</v>
      </c>
      <c r="H31" s="9">
        <v>3365</v>
      </c>
      <c r="I31" s="9">
        <v>2195</v>
      </c>
      <c r="J31" s="9">
        <v>3286</v>
      </c>
    </row>
    <row r="32" spans="2:10" ht="15" thickBot="1" x14ac:dyDescent="0.4">
      <c r="B32" s="4" t="s">
        <v>4</v>
      </c>
      <c r="C32" s="9">
        <v>3917</v>
      </c>
      <c r="D32" s="9">
        <v>3393</v>
      </c>
      <c r="E32" s="9">
        <v>0</v>
      </c>
      <c r="F32" s="9">
        <v>4303</v>
      </c>
      <c r="G32" s="9">
        <v>3989</v>
      </c>
      <c r="H32" s="9">
        <v>0</v>
      </c>
      <c r="I32" s="9">
        <v>3542</v>
      </c>
      <c r="J32" s="9">
        <v>0</v>
      </c>
    </row>
    <row r="33" spans="2:23" ht="15" thickBot="1" x14ac:dyDescent="0.4">
      <c r="B33" s="4" t="s">
        <v>6</v>
      </c>
      <c r="C33" s="9">
        <v>3814</v>
      </c>
      <c r="D33" s="9">
        <v>3356</v>
      </c>
      <c r="E33" s="9">
        <v>4744</v>
      </c>
      <c r="F33" s="9">
        <v>0</v>
      </c>
      <c r="G33" s="9">
        <v>3833</v>
      </c>
      <c r="H33" s="9">
        <v>0</v>
      </c>
      <c r="I33" s="9">
        <v>3419</v>
      </c>
      <c r="J33" s="9">
        <v>0</v>
      </c>
    </row>
    <row r="34" spans="2:23" ht="15" thickBot="1" x14ac:dyDescent="0.4">
      <c r="B34" s="4" t="s">
        <v>8</v>
      </c>
      <c r="C34" s="9">
        <v>0</v>
      </c>
      <c r="D34" s="9">
        <v>2591</v>
      </c>
      <c r="E34" s="9">
        <v>3571</v>
      </c>
      <c r="F34" s="9">
        <v>2936</v>
      </c>
      <c r="G34" s="9">
        <v>0</v>
      </c>
      <c r="H34" s="9">
        <v>4001</v>
      </c>
      <c r="I34" s="9">
        <v>2574</v>
      </c>
      <c r="J34" s="9">
        <v>3792</v>
      </c>
    </row>
    <row r="35" spans="2:23" ht="15" thickBot="1" x14ac:dyDescent="0.4">
      <c r="B35" s="4" t="s">
        <v>10</v>
      </c>
      <c r="C35" s="9">
        <v>3573</v>
      </c>
      <c r="D35" s="9">
        <v>3044</v>
      </c>
      <c r="E35" s="9">
        <v>4345</v>
      </c>
      <c r="F35" s="9">
        <v>0</v>
      </c>
      <c r="G35" s="9">
        <v>0</v>
      </c>
      <c r="H35" s="9">
        <v>0</v>
      </c>
      <c r="I35" s="9">
        <v>3186</v>
      </c>
      <c r="J35" s="9">
        <v>4843</v>
      </c>
    </row>
    <row r="36" spans="2:23" ht="15" thickBot="1" x14ac:dyDescent="0.4">
      <c r="B36" s="4" t="s">
        <v>12</v>
      </c>
      <c r="C36" s="9">
        <v>2903</v>
      </c>
      <c r="D36" s="9">
        <v>2590</v>
      </c>
      <c r="E36" s="9">
        <v>0</v>
      </c>
      <c r="F36" s="9">
        <v>3156</v>
      </c>
      <c r="G36" s="9">
        <v>3156</v>
      </c>
      <c r="H36" s="9">
        <v>4044</v>
      </c>
      <c r="I36" s="9">
        <v>0</v>
      </c>
      <c r="J36" s="9">
        <v>3793</v>
      </c>
    </row>
    <row r="37" spans="2:23" ht="15" thickBot="1" x14ac:dyDescent="0.4">
      <c r="B37" s="5" t="s">
        <v>14</v>
      </c>
      <c r="C37" s="9">
        <v>2735</v>
      </c>
      <c r="D37" s="9">
        <v>2363</v>
      </c>
      <c r="E37" s="9">
        <v>3264</v>
      </c>
      <c r="F37" s="9">
        <v>2930</v>
      </c>
      <c r="G37" s="9">
        <v>2697</v>
      </c>
      <c r="H37" s="9">
        <v>3605</v>
      </c>
      <c r="I37" s="9">
        <v>2394</v>
      </c>
      <c r="J37" s="9">
        <v>0</v>
      </c>
    </row>
    <row r="40" spans="2:23" ht="19" thickBot="1" x14ac:dyDescent="0.5">
      <c r="B40" s="24" t="s">
        <v>19</v>
      </c>
      <c r="C40" s="24"/>
      <c r="D40" s="24"/>
      <c r="E40" s="24"/>
      <c r="F40" s="24"/>
      <c r="G40" s="24"/>
      <c r="H40" s="24"/>
      <c r="I40" s="24"/>
      <c r="J40" s="24"/>
      <c r="L40" s="25" t="s">
        <v>28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</row>
    <row r="41" spans="2:23" ht="15" thickBot="1" x14ac:dyDescent="0.4">
      <c r="B41" s="2"/>
      <c r="C41" s="6" t="s">
        <v>1</v>
      </c>
      <c r="D41" s="7" t="s">
        <v>3</v>
      </c>
      <c r="E41" s="7" t="s">
        <v>5</v>
      </c>
      <c r="F41" s="7" t="s">
        <v>7</v>
      </c>
      <c r="G41" s="7" t="s">
        <v>9</v>
      </c>
      <c r="H41" s="7" t="s">
        <v>11</v>
      </c>
      <c r="I41" s="7" t="s">
        <v>13</v>
      </c>
      <c r="J41" s="8" t="s">
        <v>15</v>
      </c>
      <c r="M41" s="2"/>
      <c r="N41" s="6" t="s">
        <v>1</v>
      </c>
      <c r="O41" s="7" t="s">
        <v>3</v>
      </c>
      <c r="P41" s="7" t="s">
        <v>5</v>
      </c>
      <c r="Q41" s="7" t="s">
        <v>7</v>
      </c>
      <c r="R41" s="7" t="s">
        <v>9</v>
      </c>
      <c r="S41" s="7" t="s">
        <v>11</v>
      </c>
      <c r="T41" s="7" t="s">
        <v>13</v>
      </c>
      <c r="U41" s="8" t="s">
        <v>15</v>
      </c>
    </row>
    <row r="42" spans="2:23" ht="15" thickBot="1" x14ac:dyDescent="0.4">
      <c r="B42" s="3" t="s">
        <v>0</v>
      </c>
      <c r="C42" s="9"/>
      <c r="D42" s="9"/>
      <c r="E42" s="9"/>
      <c r="F42" s="9"/>
      <c r="G42" s="9">
        <v>1</v>
      </c>
      <c r="H42" s="9"/>
      <c r="I42" s="9"/>
      <c r="J42" s="9"/>
      <c r="M42" s="3" t="s">
        <v>0</v>
      </c>
      <c r="N42" s="9"/>
      <c r="O42" s="9">
        <v>355</v>
      </c>
      <c r="P42" s="9"/>
      <c r="Q42" s="9">
        <v>397</v>
      </c>
      <c r="R42" s="9">
        <v>395</v>
      </c>
      <c r="S42" s="9">
        <v>474</v>
      </c>
      <c r="T42" s="9">
        <v>379</v>
      </c>
      <c r="U42" s="9">
        <v>493</v>
      </c>
    </row>
    <row r="43" spans="2:23" ht="15" thickBot="1" x14ac:dyDescent="0.4">
      <c r="B43" s="4" t="s">
        <v>2</v>
      </c>
      <c r="C43" s="9"/>
      <c r="D43" s="9"/>
      <c r="E43" s="9"/>
      <c r="F43" s="9"/>
      <c r="G43" s="9"/>
      <c r="H43" s="9"/>
      <c r="I43" s="9"/>
      <c r="J43" s="9">
        <v>1</v>
      </c>
      <c r="M43" s="4" t="s">
        <v>2</v>
      </c>
      <c r="N43" s="9">
        <v>414</v>
      </c>
      <c r="O43" s="9"/>
      <c r="P43" s="9">
        <v>490</v>
      </c>
      <c r="Q43" s="9">
        <v>401</v>
      </c>
      <c r="R43" s="9">
        <v>454</v>
      </c>
      <c r="S43" s="9">
        <v>508</v>
      </c>
      <c r="T43" s="9">
        <v>321</v>
      </c>
      <c r="U43" s="9">
        <v>491</v>
      </c>
    </row>
    <row r="44" spans="2:23" ht="15" thickBot="1" x14ac:dyDescent="0.4">
      <c r="B44" s="4" t="s">
        <v>4</v>
      </c>
      <c r="C44" s="9">
        <v>1</v>
      </c>
      <c r="D44" s="9"/>
      <c r="E44" s="9"/>
      <c r="F44" s="9"/>
      <c r="G44" s="9"/>
      <c r="H44" s="9"/>
      <c r="I44" s="9"/>
      <c r="J44" s="9"/>
      <c r="M44" s="4" t="s">
        <v>4</v>
      </c>
      <c r="N44" s="9">
        <v>424</v>
      </c>
      <c r="O44" s="9">
        <v>360</v>
      </c>
      <c r="P44" s="9"/>
      <c r="Q44" s="9">
        <v>416</v>
      </c>
      <c r="R44" s="9">
        <v>404</v>
      </c>
      <c r="S44" s="9"/>
      <c r="T44" s="9">
        <v>410</v>
      </c>
      <c r="U44" s="9"/>
    </row>
    <row r="45" spans="2:23" ht="15" thickBot="1" x14ac:dyDescent="0.4">
      <c r="B45" s="4" t="s">
        <v>6</v>
      </c>
      <c r="C45" s="9"/>
      <c r="D45" s="9"/>
      <c r="E45" s="9">
        <v>1</v>
      </c>
      <c r="F45" s="9"/>
      <c r="G45" s="9"/>
      <c r="H45" s="9"/>
      <c r="I45" s="9"/>
      <c r="J45" s="9"/>
      <c r="M45" s="4" t="s">
        <v>6</v>
      </c>
      <c r="N45" s="9">
        <v>424</v>
      </c>
      <c r="O45" s="9">
        <v>359</v>
      </c>
      <c r="P45" s="9">
        <v>535</v>
      </c>
      <c r="Q45" s="9"/>
      <c r="R45" s="9">
        <v>374</v>
      </c>
      <c r="S45" s="9"/>
      <c r="T45" s="9">
        <v>343</v>
      </c>
      <c r="U45" s="9"/>
    </row>
    <row r="46" spans="2:23" ht="15" thickBot="1" x14ac:dyDescent="0.4">
      <c r="B46" s="4" t="s">
        <v>8</v>
      </c>
      <c r="C46" s="9"/>
      <c r="D46" s="9"/>
      <c r="E46" s="9"/>
      <c r="F46" s="9">
        <v>1</v>
      </c>
      <c r="G46" s="9"/>
      <c r="H46" s="9"/>
      <c r="I46" s="9"/>
      <c r="J46" s="9"/>
      <c r="M46" s="4" t="s">
        <v>8</v>
      </c>
      <c r="N46" s="9"/>
      <c r="O46" s="9">
        <v>357</v>
      </c>
      <c r="P46" s="9">
        <v>505</v>
      </c>
      <c r="Q46" s="9">
        <v>411</v>
      </c>
      <c r="R46" s="9"/>
      <c r="S46" s="9">
        <v>510</v>
      </c>
      <c r="T46" s="9">
        <v>363</v>
      </c>
      <c r="U46" s="9">
        <v>493</v>
      </c>
    </row>
    <row r="47" spans="2:23" ht="15" thickBot="1" x14ac:dyDescent="0.4">
      <c r="B47" s="4" t="s">
        <v>10</v>
      </c>
      <c r="C47" s="9"/>
      <c r="D47" s="9"/>
      <c r="E47" s="9"/>
      <c r="F47" s="9"/>
      <c r="G47" s="9"/>
      <c r="H47" s="9"/>
      <c r="I47" s="9">
        <v>1</v>
      </c>
      <c r="J47" s="9"/>
      <c r="M47" s="4" t="s">
        <v>10</v>
      </c>
      <c r="N47" s="9">
        <v>409</v>
      </c>
      <c r="O47" s="9">
        <v>356</v>
      </c>
      <c r="P47" s="9">
        <v>475</v>
      </c>
      <c r="Q47" s="9"/>
      <c r="R47" s="9"/>
      <c r="S47" s="9"/>
      <c r="T47" s="9">
        <v>360</v>
      </c>
      <c r="U47" s="9">
        <v>504</v>
      </c>
    </row>
    <row r="48" spans="2:23" ht="15" thickBot="1" x14ac:dyDescent="0.4">
      <c r="B48" s="4" t="s">
        <v>12</v>
      </c>
      <c r="C48" s="9"/>
      <c r="D48" s="9"/>
      <c r="E48" s="9"/>
      <c r="F48" s="9"/>
      <c r="G48" s="9"/>
      <c r="H48" s="9">
        <v>1</v>
      </c>
      <c r="I48" s="9"/>
      <c r="J48" s="9"/>
      <c r="M48" s="4" t="s">
        <v>12</v>
      </c>
      <c r="N48" s="9">
        <v>391</v>
      </c>
      <c r="O48" s="9">
        <v>348</v>
      </c>
      <c r="P48" s="9"/>
      <c r="Q48" s="9">
        <v>435</v>
      </c>
      <c r="R48" s="9">
        <v>432</v>
      </c>
      <c r="S48" s="9">
        <v>490</v>
      </c>
      <c r="T48" s="9"/>
      <c r="U48" s="9">
        <v>504</v>
      </c>
    </row>
    <row r="49" spans="2:21" ht="15" thickBot="1" x14ac:dyDescent="0.4">
      <c r="B49" s="5" t="s">
        <v>14</v>
      </c>
      <c r="C49" s="9"/>
      <c r="D49" s="9">
        <v>1</v>
      </c>
      <c r="E49" s="9"/>
      <c r="F49" s="9"/>
      <c r="G49" s="9"/>
      <c r="H49" s="9"/>
      <c r="I49" s="9"/>
      <c r="J49" s="9"/>
      <c r="M49" s="5" t="s">
        <v>14</v>
      </c>
      <c r="N49" s="9">
        <v>423</v>
      </c>
      <c r="O49" s="9">
        <v>364</v>
      </c>
      <c r="P49" s="9">
        <v>493</v>
      </c>
      <c r="Q49" s="9">
        <v>461</v>
      </c>
      <c r="R49" s="9">
        <v>430</v>
      </c>
      <c r="S49" s="9">
        <v>517</v>
      </c>
      <c r="T49" s="9">
        <v>348</v>
      </c>
      <c r="U49" s="9"/>
    </row>
    <row r="50" spans="2:21" x14ac:dyDescent="0.35">
      <c r="M50" s="22" t="s">
        <v>25</v>
      </c>
      <c r="N50" s="22">
        <f>SUM(N42:N49)</f>
        <v>2485</v>
      </c>
      <c r="O50" s="22">
        <f t="shared" ref="O50:U50" si="2">SUM(O42:O49)</f>
        <v>2499</v>
      </c>
      <c r="P50" s="22">
        <f t="shared" si="2"/>
        <v>2498</v>
      </c>
      <c r="Q50" s="22">
        <f t="shared" si="2"/>
        <v>2521</v>
      </c>
      <c r="R50" s="22">
        <f t="shared" si="2"/>
        <v>2489</v>
      </c>
      <c r="S50" s="22">
        <f t="shared" si="2"/>
        <v>2499</v>
      </c>
      <c r="T50" s="22">
        <f t="shared" si="2"/>
        <v>2524</v>
      </c>
      <c r="U50" s="22">
        <f t="shared" si="2"/>
        <v>2485</v>
      </c>
    </row>
    <row r="51" spans="2:21" x14ac:dyDescent="0.35">
      <c r="M51" s="22" t="s">
        <v>26</v>
      </c>
      <c r="N51" s="23">
        <f>N50/SUM($N$50:$U$50)</f>
        <v>0.12425</v>
      </c>
      <c r="O51" s="23">
        <f t="shared" ref="O51:U51" si="3">O50/SUM($N$50:$U$50)</f>
        <v>0.12495000000000001</v>
      </c>
      <c r="P51" s="23">
        <f t="shared" si="3"/>
        <v>0.1249</v>
      </c>
      <c r="Q51" s="23">
        <f t="shared" si="3"/>
        <v>0.12605</v>
      </c>
      <c r="R51" s="23">
        <f t="shared" si="3"/>
        <v>0.12445000000000001</v>
      </c>
      <c r="S51" s="23">
        <f t="shared" si="3"/>
        <v>0.12495000000000001</v>
      </c>
      <c r="T51" s="23">
        <f t="shared" si="3"/>
        <v>0.12620000000000001</v>
      </c>
      <c r="U51" s="23">
        <f t="shared" si="3"/>
        <v>0.12425</v>
      </c>
    </row>
    <row r="53" spans="2:21" ht="19" thickBot="1" x14ac:dyDescent="0.5">
      <c r="B53" s="24" t="s">
        <v>21</v>
      </c>
      <c r="C53" s="24"/>
      <c r="D53" s="24"/>
      <c r="E53" s="24"/>
      <c r="F53" s="24"/>
      <c r="G53" s="24"/>
      <c r="H53" s="24"/>
      <c r="I53" s="24"/>
      <c r="J53" s="24"/>
      <c r="M53" s="24" t="s">
        <v>27</v>
      </c>
      <c r="N53" s="24"/>
      <c r="O53" s="24"/>
      <c r="P53" s="24"/>
      <c r="Q53" s="24"/>
      <c r="R53" s="24"/>
      <c r="S53" s="24"/>
      <c r="T53" s="24"/>
      <c r="U53" s="24"/>
    </row>
    <row r="54" spans="2:21" ht="15" thickBot="1" x14ac:dyDescent="0.4">
      <c r="B54" s="2"/>
      <c r="C54" s="6" t="s">
        <v>1</v>
      </c>
      <c r="D54" s="7" t="s">
        <v>3</v>
      </c>
      <c r="E54" s="7" t="s">
        <v>5</v>
      </c>
      <c r="F54" s="7" t="s">
        <v>7</v>
      </c>
      <c r="G54" s="7" t="s">
        <v>9</v>
      </c>
      <c r="H54" s="7" t="s">
        <v>11</v>
      </c>
      <c r="I54" s="7" t="s">
        <v>13</v>
      </c>
      <c r="J54" s="8" t="s">
        <v>15</v>
      </c>
      <c r="M54" s="2"/>
      <c r="N54" s="6" t="s">
        <v>1</v>
      </c>
      <c r="O54" s="7" t="s">
        <v>3</v>
      </c>
      <c r="P54" s="7" t="s">
        <v>5</v>
      </c>
      <c r="Q54" s="7" t="s">
        <v>7</v>
      </c>
      <c r="R54" s="7" t="s">
        <v>9</v>
      </c>
      <c r="S54" s="7" t="s">
        <v>11</v>
      </c>
      <c r="T54" s="7" t="s">
        <v>13</v>
      </c>
      <c r="U54" s="8" t="s">
        <v>15</v>
      </c>
    </row>
    <row r="55" spans="2:21" ht="15" thickBot="1" x14ac:dyDescent="0.4">
      <c r="B55" s="3" t="s">
        <v>0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0</v>
      </c>
      <c r="M55" s="3" t="s">
        <v>0</v>
      </c>
      <c r="N55" s="10">
        <f>N42/N$50</f>
        <v>0</v>
      </c>
      <c r="O55" s="10">
        <f t="shared" ref="O55:U55" si="4">O42/O$50</f>
        <v>0.14205682272909165</v>
      </c>
      <c r="P55" s="10">
        <f t="shared" si="4"/>
        <v>0</v>
      </c>
      <c r="Q55" s="10">
        <f t="shared" si="4"/>
        <v>0.15747719159063864</v>
      </c>
      <c r="R55" s="10">
        <f t="shared" si="4"/>
        <v>0.15869827239855364</v>
      </c>
      <c r="S55" s="10">
        <f t="shared" si="4"/>
        <v>0.18967587034813926</v>
      </c>
      <c r="T55" s="10">
        <f t="shared" si="4"/>
        <v>0.15015847860538828</v>
      </c>
      <c r="U55" s="10">
        <f t="shared" si="4"/>
        <v>0.19839034205231387</v>
      </c>
    </row>
    <row r="56" spans="2:21" ht="15" thickBot="1" x14ac:dyDescent="0.4">
      <c r="B56" s="4" t="s">
        <v>2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  <c r="M56" s="4" t="s">
        <v>2</v>
      </c>
      <c r="N56" s="10">
        <f t="shared" ref="N56:U62" si="5">N43/N$50</f>
        <v>0.16659959758551307</v>
      </c>
      <c r="O56" s="10">
        <f t="shared" si="5"/>
        <v>0</v>
      </c>
      <c r="P56" s="10">
        <f t="shared" si="5"/>
        <v>0.19615692554043235</v>
      </c>
      <c r="Q56" s="10">
        <f t="shared" si="5"/>
        <v>0.15906386354621183</v>
      </c>
      <c r="R56" s="10">
        <f t="shared" si="5"/>
        <v>0.18240257131378063</v>
      </c>
      <c r="S56" s="10">
        <f t="shared" si="5"/>
        <v>0.20328131252501</v>
      </c>
      <c r="T56" s="10">
        <f t="shared" si="5"/>
        <v>0.12717908082408874</v>
      </c>
      <c r="U56" s="10">
        <f t="shared" si="5"/>
        <v>0.19758551307847083</v>
      </c>
    </row>
    <row r="57" spans="2:21" ht="15" thickBot="1" x14ac:dyDescent="0.4">
      <c r="B57" s="4" t="s">
        <v>4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  <c r="M57" s="4" t="s">
        <v>4</v>
      </c>
      <c r="N57" s="10">
        <f t="shared" si="5"/>
        <v>0.17062374245472836</v>
      </c>
      <c r="O57" s="10">
        <f t="shared" si="5"/>
        <v>0.14405762304921968</v>
      </c>
      <c r="P57" s="10">
        <f t="shared" si="5"/>
        <v>0</v>
      </c>
      <c r="Q57" s="10">
        <f t="shared" si="5"/>
        <v>0.16501388337961126</v>
      </c>
      <c r="R57" s="10">
        <f t="shared" si="5"/>
        <v>0.16231418240257131</v>
      </c>
      <c r="S57" s="10">
        <f t="shared" si="5"/>
        <v>0</v>
      </c>
      <c r="T57" s="10">
        <f t="shared" si="5"/>
        <v>0.16244057052297939</v>
      </c>
      <c r="U57" s="10">
        <f t="shared" si="5"/>
        <v>0</v>
      </c>
    </row>
    <row r="58" spans="2:21" ht="15" thickBot="1" x14ac:dyDescent="0.4">
      <c r="B58" s="4" t="s">
        <v>6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M58" s="4" t="s">
        <v>6</v>
      </c>
      <c r="N58" s="10">
        <f t="shared" si="5"/>
        <v>0.17062374245472836</v>
      </c>
      <c r="O58" s="10">
        <f t="shared" si="5"/>
        <v>0.14365746298519408</v>
      </c>
      <c r="P58" s="10">
        <f t="shared" si="5"/>
        <v>0.21417133706965572</v>
      </c>
      <c r="Q58" s="10">
        <f t="shared" si="5"/>
        <v>0</v>
      </c>
      <c r="R58" s="10">
        <f t="shared" si="5"/>
        <v>0.15026114905584573</v>
      </c>
      <c r="S58" s="10">
        <f t="shared" si="5"/>
        <v>0</v>
      </c>
      <c r="T58" s="10">
        <f t="shared" si="5"/>
        <v>0.13589540412044374</v>
      </c>
      <c r="U58" s="10">
        <f t="shared" si="5"/>
        <v>0</v>
      </c>
    </row>
    <row r="59" spans="2:21" ht="15" thickBot="1" x14ac:dyDescent="0.4">
      <c r="B59" s="4" t="s">
        <v>8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M59" s="4" t="s">
        <v>8</v>
      </c>
      <c r="N59" s="10">
        <f t="shared" si="5"/>
        <v>0</v>
      </c>
      <c r="O59" s="10">
        <f t="shared" si="5"/>
        <v>0.14285714285714285</v>
      </c>
      <c r="P59" s="10">
        <f t="shared" si="5"/>
        <v>0.20216172938350679</v>
      </c>
      <c r="Q59" s="10">
        <f t="shared" si="5"/>
        <v>0.16303054343514478</v>
      </c>
      <c r="R59" s="10">
        <f t="shared" si="5"/>
        <v>0</v>
      </c>
      <c r="S59" s="10">
        <f t="shared" si="5"/>
        <v>0.20408163265306123</v>
      </c>
      <c r="T59" s="10">
        <f t="shared" si="5"/>
        <v>0.14381933438985736</v>
      </c>
      <c r="U59" s="10">
        <f t="shared" si="5"/>
        <v>0.19839034205231387</v>
      </c>
    </row>
    <row r="60" spans="2:21" ht="15" thickBot="1" x14ac:dyDescent="0.4">
      <c r="B60" s="4" t="s">
        <v>10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  <c r="M60" s="4" t="s">
        <v>10</v>
      </c>
      <c r="N60" s="10">
        <f t="shared" si="5"/>
        <v>0.16458752515090544</v>
      </c>
      <c r="O60" s="10">
        <f t="shared" si="5"/>
        <v>0.14245698279311725</v>
      </c>
      <c r="P60" s="10">
        <f t="shared" si="5"/>
        <v>0.19015212169735787</v>
      </c>
      <c r="Q60" s="10">
        <f t="shared" si="5"/>
        <v>0</v>
      </c>
      <c r="R60" s="10">
        <f t="shared" si="5"/>
        <v>0</v>
      </c>
      <c r="S60" s="10">
        <f t="shared" si="5"/>
        <v>0</v>
      </c>
      <c r="T60" s="10">
        <f t="shared" si="5"/>
        <v>0.14263074484944532</v>
      </c>
      <c r="U60" s="10">
        <f t="shared" si="5"/>
        <v>0.20281690140845071</v>
      </c>
    </row>
    <row r="61" spans="2:21" ht="15" thickBot="1" x14ac:dyDescent="0.4">
      <c r="B61" s="4" t="s">
        <v>12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M61" s="4" t="s">
        <v>12</v>
      </c>
      <c r="N61" s="10">
        <f t="shared" si="5"/>
        <v>0.1573440643863179</v>
      </c>
      <c r="O61" s="10">
        <f t="shared" si="5"/>
        <v>0.13925570228091236</v>
      </c>
      <c r="P61" s="10">
        <f t="shared" si="5"/>
        <v>0</v>
      </c>
      <c r="Q61" s="10">
        <f t="shared" si="5"/>
        <v>0.17255057516858391</v>
      </c>
      <c r="R61" s="10">
        <f t="shared" si="5"/>
        <v>0.17356368019284854</v>
      </c>
      <c r="S61" s="10">
        <f t="shared" si="5"/>
        <v>0.19607843137254902</v>
      </c>
      <c r="T61" s="10">
        <f t="shared" si="5"/>
        <v>0</v>
      </c>
      <c r="U61" s="10">
        <f t="shared" si="5"/>
        <v>0.20281690140845071</v>
      </c>
    </row>
    <row r="62" spans="2:21" ht="15" thickBot="1" x14ac:dyDescent="0.4">
      <c r="B62" s="5" t="s">
        <v>14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M62" s="5" t="s">
        <v>14</v>
      </c>
      <c r="N62" s="10">
        <f t="shared" si="5"/>
        <v>0.17022132796780684</v>
      </c>
      <c r="O62" s="10">
        <f t="shared" si="5"/>
        <v>0.14565826330532214</v>
      </c>
      <c r="P62" s="10">
        <f t="shared" si="5"/>
        <v>0.19735788630904724</v>
      </c>
      <c r="Q62" s="10">
        <f t="shared" si="5"/>
        <v>0.18286394287980959</v>
      </c>
      <c r="R62" s="10">
        <f t="shared" si="5"/>
        <v>0.17276014463640016</v>
      </c>
      <c r="S62" s="10">
        <f t="shared" si="5"/>
        <v>0.20688275310124049</v>
      </c>
      <c r="T62" s="10">
        <f t="shared" si="5"/>
        <v>0.13787638668779714</v>
      </c>
      <c r="U62" s="10">
        <f t="shared" si="5"/>
        <v>0</v>
      </c>
    </row>
  </sheetData>
  <mergeCells count="7">
    <mergeCell ref="L40:W40"/>
    <mergeCell ref="M53:U53"/>
    <mergeCell ref="B16:J16"/>
    <mergeCell ref="B28:J28"/>
    <mergeCell ref="B2:J2"/>
    <mergeCell ref="B40:J40"/>
    <mergeCell ref="B53:J53"/>
  </mergeCells>
  <conditionalFormatting sqref="C18:J18">
    <cfRule type="expression" dxfId="39" priority="20">
      <formula>C18=0</formula>
    </cfRule>
    <cfRule type="expression" dxfId="38" priority="21">
      <formula>C18=1</formula>
    </cfRule>
  </conditionalFormatting>
  <conditionalFormatting sqref="C19:J19">
    <cfRule type="expression" dxfId="37" priority="18">
      <formula>C19=0</formula>
    </cfRule>
    <cfRule type="expression" dxfId="36" priority="19">
      <formula>C19=1</formula>
    </cfRule>
  </conditionalFormatting>
  <conditionalFormatting sqref="C20:J20">
    <cfRule type="expression" dxfId="35" priority="16">
      <formula>C20=0</formula>
    </cfRule>
    <cfRule type="expression" dxfId="34" priority="17">
      <formula>C20=1</formula>
    </cfRule>
  </conditionalFormatting>
  <conditionalFormatting sqref="C21:J21">
    <cfRule type="expression" dxfId="33" priority="14">
      <formula>C21=0</formula>
    </cfRule>
    <cfRule type="expression" dxfId="32" priority="15">
      <formula>C21=1</formula>
    </cfRule>
  </conditionalFormatting>
  <conditionalFormatting sqref="C22:J22">
    <cfRule type="expression" dxfId="31" priority="12">
      <formula>C22=0</formula>
    </cfRule>
    <cfRule type="expression" dxfId="30" priority="13">
      <formula>C22=1</formula>
    </cfRule>
  </conditionalFormatting>
  <conditionalFormatting sqref="C23:J23">
    <cfRule type="expression" dxfId="29" priority="10">
      <formula>C23=0</formula>
    </cfRule>
    <cfRule type="expression" dxfId="28" priority="11">
      <formula>C23=1</formula>
    </cfRule>
  </conditionalFormatting>
  <conditionalFormatting sqref="C24:J24">
    <cfRule type="expression" dxfId="27" priority="8">
      <formula>C24=0</formula>
    </cfRule>
    <cfRule type="expression" dxfId="26" priority="9">
      <formula>C24=1</formula>
    </cfRule>
  </conditionalFormatting>
  <conditionalFormatting sqref="C25:J25">
    <cfRule type="expression" dxfId="25" priority="6">
      <formula>C25=0</formula>
    </cfRule>
    <cfRule type="expression" dxfId="24" priority="7">
      <formula>C25=1</formula>
    </cfRule>
  </conditionalFormatting>
  <conditionalFormatting sqref="C4:J11">
    <cfRule type="expression" dxfId="23" priority="1">
      <formula>C4&gt;0.2</formula>
    </cfRule>
    <cfRule type="expression" dxfId="22" priority="2">
      <formula>AND(C4&gt;=0.15,C4&lt;0.2)</formula>
    </cfRule>
    <cfRule type="expression" dxfId="20" priority="3">
      <formula>AND(C4&lt;0.15,C4&lt;&gt;0)</formula>
    </cfRule>
    <cfRule type="expression" dxfId="21" priority="4">
      <formula>C4=0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Simulations">
                <anchor moveWithCells="1" sizeWithCells="1">
                  <from>
                    <xdr:col>3</xdr:col>
                    <xdr:colOff>1079500</xdr:colOff>
                    <xdr:row>11</xdr:row>
                    <xdr:rowOff>209550</xdr:rowOff>
                  </from>
                  <to>
                    <xdr:col>5</xdr:col>
                    <xdr:colOff>1143000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UCL</vt:lpstr>
      <vt:lpstr>All_Simulation_Results</vt:lpstr>
      <vt:lpstr>Blocked_Matchups</vt:lpstr>
      <vt:lpstr>Matchup_When_RunnerUp_1st</vt:lpstr>
      <vt:lpstr>Number_Simulations</vt:lpstr>
      <vt:lpstr>One_Simulation_Result</vt:lpstr>
      <vt:lpstr>Possible_Matchups</vt:lpstr>
      <vt:lpstr>Probabilities_Table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Patiño</dc:creator>
  <cp:lastModifiedBy>Carlos Patiño</cp:lastModifiedBy>
  <dcterms:created xsi:type="dcterms:W3CDTF">2016-12-08T14:11:40Z</dcterms:created>
  <dcterms:modified xsi:type="dcterms:W3CDTF">2016-12-09T16:09:16Z</dcterms:modified>
</cp:coreProperties>
</file>